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naya9\OneDrive\바탕 화면\포트폴리오\"/>
    </mc:Choice>
  </mc:AlternateContent>
  <xr:revisionPtr revIDLastSave="0" documentId="13_ncr:1_{9083B876-40DC-49AA-BA70-7D7E5D65C87E}" xr6:coauthVersionLast="47" xr6:coauthVersionMax="47" xr10:uidLastSave="{00000000-0000-0000-0000-000000000000}"/>
  <bookViews>
    <workbookView xWindow="11424" yWindow="0" windowWidth="11712" windowHeight="12336" activeTab="1" xr2:uid="{CA987EB4-FD56-4147-A187-12965ADEC374}"/>
  </bookViews>
  <sheets>
    <sheet name="입력" sheetId="1" r:id="rId1"/>
    <sheet name="데이터" sheetId="2" r:id="rId2"/>
    <sheet name="계산" sheetId="3" r:id="rId3"/>
    <sheet name="결과출력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5" i="2" l="1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3" i="2"/>
  <c r="G19" i="2"/>
  <c r="F19" i="2"/>
  <c r="L25" i="2" l="1"/>
</calcChain>
</file>

<file path=xl/sharedStrings.xml><?xml version="1.0" encoding="utf-8"?>
<sst xmlns="http://schemas.openxmlformats.org/spreadsheetml/2006/main" count="182" uniqueCount="179">
  <si>
    <t>할인율</t>
    <phoneticPr fontId="2" type="noConversion"/>
  </si>
  <si>
    <t>해약률</t>
    <phoneticPr fontId="2" type="noConversion"/>
  </si>
  <si>
    <t>*계산로직_공식입력</t>
    <phoneticPr fontId="2" type="noConversion"/>
  </si>
  <si>
    <t>BEL</t>
    <phoneticPr fontId="2" type="noConversion"/>
  </si>
  <si>
    <t>FCF</t>
    <phoneticPr fontId="2" type="noConversion"/>
  </si>
  <si>
    <t>CSM</t>
    <phoneticPr fontId="2" type="noConversion"/>
  </si>
  <si>
    <t>*PDF2장 요약보고서</t>
    <phoneticPr fontId="2" type="noConversion"/>
  </si>
  <si>
    <t>(가정,공식.시점/한계점 및 확장가능성/포트폴리오를 이렇게 만든 이유)</t>
    <phoneticPr fontId="2" type="noConversion"/>
  </si>
  <si>
    <t>사업비율</t>
    <phoneticPr fontId="2" type="noConversion"/>
  </si>
  <si>
    <t>시장금리</t>
    <phoneticPr fontId="2" type="noConversion"/>
  </si>
  <si>
    <t>평균할인율</t>
    <phoneticPr fontId="2" type="noConversion"/>
  </si>
  <si>
    <t>해약환급금</t>
  </si>
  <si>
    <t>한화생명</t>
  </si>
  <si>
    <t>ABL생명</t>
  </si>
  <si>
    <t>삼성생명</t>
  </si>
  <si>
    <t>흥국생명</t>
  </si>
  <si>
    <t>교보생명</t>
  </si>
  <si>
    <t>iM라이프생명</t>
  </si>
  <si>
    <t>미래에셋생명</t>
  </si>
  <si>
    <t>KDB생명</t>
  </si>
  <si>
    <t>DB생명</t>
  </si>
  <si>
    <t>동양생명</t>
  </si>
  <si>
    <t>메트라이프생명</t>
  </si>
  <si>
    <t>KB라이프생명</t>
  </si>
  <si>
    <t>신한라이프생명</t>
  </si>
  <si>
    <t>처브라이프생명</t>
  </si>
  <si>
    <t>하나생명</t>
  </si>
  <si>
    <t>BNP파리바카디프생명</t>
  </si>
  <si>
    <t>푸본현대생명</t>
  </si>
  <si>
    <t>라이나생명</t>
  </si>
  <si>
    <t>AIA생명</t>
  </si>
  <si>
    <t>IBK연금보험</t>
  </si>
  <si>
    <t>NH농협생명</t>
  </si>
  <si>
    <t>교보라이프플래닛생명</t>
  </si>
  <si>
    <t>보유계약금액</t>
    <phoneticPr fontId="2" type="noConversion"/>
  </si>
  <si>
    <t>기간(년)</t>
    <phoneticPr fontId="2" type="noConversion"/>
  </si>
  <si>
    <t>평균해약률</t>
    <phoneticPr fontId="2" type="noConversion"/>
  </si>
  <si>
    <t>생명보험회사(단위:백만)</t>
    <phoneticPr fontId="2" type="noConversion"/>
  </si>
  <si>
    <t>평균해약환급금</t>
    <phoneticPr fontId="2" type="noConversion"/>
  </si>
  <si>
    <t>연납보험료</t>
    <phoneticPr fontId="2" type="noConversion"/>
  </si>
  <si>
    <t>성별(남/여)</t>
    <phoneticPr fontId="2" type="noConversion"/>
  </si>
  <si>
    <t>연령별</t>
  </si>
  <si>
    <t>사망확률(여자) (%)</t>
  </si>
  <si>
    <t>사망확률(남자) (%)</t>
  </si>
  <si>
    <t>0세</t>
  </si>
  <si>
    <t>1세</t>
  </si>
  <si>
    <t>2세</t>
  </si>
  <si>
    <t>3세</t>
  </si>
  <si>
    <t>4세</t>
  </si>
  <si>
    <t>5세</t>
  </si>
  <si>
    <t>6세</t>
  </si>
  <si>
    <t>7세</t>
  </si>
  <si>
    <t>8세</t>
  </si>
  <si>
    <t>9세</t>
  </si>
  <si>
    <t>10세</t>
  </si>
  <si>
    <t>11세</t>
  </si>
  <si>
    <t>12세</t>
  </si>
  <si>
    <t>13세</t>
  </si>
  <si>
    <t>14세</t>
  </si>
  <si>
    <t>15세</t>
  </si>
  <si>
    <t>16세</t>
  </si>
  <si>
    <t>17세</t>
  </si>
  <si>
    <t>18세</t>
  </si>
  <si>
    <t>19세</t>
  </si>
  <si>
    <t>20세</t>
  </si>
  <si>
    <t>21세</t>
  </si>
  <si>
    <t>22세</t>
  </si>
  <si>
    <t>23세</t>
  </si>
  <si>
    <t>24세</t>
  </si>
  <si>
    <t>25세</t>
  </si>
  <si>
    <t>26세</t>
  </si>
  <si>
    <t>27세</t>
  </si>
  <si>
    <t>28세</t>
  </si>
  <si>
    <t>29세</t>
  </si>
  <si>
    <t>30세</t>
  </si>
  <si>
    <t>31세</t>
  </si>
  <si>
    <t>32세</t>
  </si>
  <si>
    <t>33세</t>
  </si>
  <si>
    <t>34세</t>
  </si>
  <si>
    <t>35세</t>
  </si>
  <si>
    <t>36세</t>
  </si>
  <si>
    <t>37세</t>
  </si>
  <si>
    <t>38세</t>
  </si>
  <si>
    <t>39세</t>
  </si>
  <si>
    <t>40세</t>
  </si>
  <si>
    <t>41세</t>
  </si>
  <si>
    <t>42세</t>
  </si>
  <si>
    <t>43세</t>
  </si>
  <si>
    <t>44세</t>
  </si>
  <si>
    <t>45세</t>
  </si>
  <si>
    <t>46세</t>
  </si>
  <si>
    <t>47세</t>
  </si>
  <si>
    <t>48세</t>
  </si>
  <si>
    <t>49세</t>
  </si>
  <si>
    <t>50세</t>
  </si>
  <si>
    <t>51세</t>
  </si>
  <si>
    <t>52세</t>
  </si>
  <si>
    <t>53세</t>
  </si>
  <si>
    <t>54세</t>
  </si>
  <si>
    <t>55세</t>
  </si>
  <si>
    <t>56세</t>
  </si>
  <si>
    <t>57세</t>
  </si>
  <si>
    <t>58세</t>
  </si>
  <si>
    <t>59세</t>
  </si>
  <si>
    <t>60세</t>
  </si>
  <si>
    <t>61세</t>
  </si>
  <si>
    <t>62세</t>
  </si>
  <si>
    <t>63세</t>
  </si>
  <si>
    <t>64세</t>
  </si>
  <si>
    <t>65세</t>
  </si>
  <si>
    <t>66세</t>
  </si>
  <si>
    <t>67세</t>
  </si>
  <si>
    <t>68세</t>
  </si>
  <si>
    <t>69세</t>
  </si>
  <si>
    <t>70세</t>
  </si>
  <si>
    <t>71세</t>
  </si>
  <si>
    <t>72세</t>
  </si>
  <si>
    <t>73세</t>
  </si>
  <si>
    <t>74세</t>
  </si>
  <si>
    <t>75세</t>
  </si>
  <si>
    <t>76세</t>
  </si>
  <si>
    <t>77세</t>
  </si>
  <si>
    <t>78세</t>
  </si>
  <si>
    <t>79세</t>
  </si>
  <si>
    <t>80세</t>
  </si>
  <si>
    <t>81세</t>
  </si>
  <si>
    <t>82세</t>
  </si>
  <si>
    <t>83세</t>
  </si>
  <si>
    <t>84세</t>
  </si>
  <si>
    <t>85세</t>
  </si>
  <si>
    <t>86세</t>
  </si>
  <si>
    <t>87세</t>
  </si>
  <si>
    <t>88세</t>
  </si>
  <si>
    <t>89세</t>
  </si>
  <si>
    <t>90세</t>
  </si>
  <si>
    <t>91세</t>
  </si>
  <si>
    <t>92세</t>
  </si>
  <si>
    <t>93세</t>
  </si>
  <si>
    <t>94세</t>
  </si>
  <si>
    <t>95세</t>
  </si>
  <si>
    <t>96세</t>
  </si>
  <si>
    <t>97세</t>
  </si>
  <si>
    <t>98세</t>
  </si>
  <si>
    <t>99세</t>
  </si>
  <si>
    <t>100세이상</t>
  </si>
  <si>
    <t>*IFRS17 및 K-ICS금리참고</t>
    <phoneticPr fontId="2" type="noConversion"/>
  </si>
  <si>
    <t>*생명보험협회 월간생명보험통계참고</t>
    <phoneticPr fontId="2" type="noConversion"/>
  </si>
  <si>
    <t>*통계청 제10차 완전생명표 참고</t>
    <phoneticPr fontId="2" type="noConversion"/>
  </si>
  <si>
    <t>*입력을 누르면 데이터시트에 생명표출력/</t>
    <phoneticPr fontId="2" type="noConversion"/>
  </si>
  <si>
    <t>직접사업비</t>
    <phoneticPr fontId="2" type="noConversion"/>
  </si>
  <si>
    <t>년도</t>
    <phoneticPr fontId="2" type="noConversion"/>
  </si>
  <si>
    <t>평균사업비율</t>
    <phoneticPr fontId="2" type="noConversion"/>
  </si>
  <si>
    <t>*보험개발원 보험통계 참고(최근3개년)</t>
    <phoneticPr fontId="2" type="noConversion"/>
  </si>
  <si>
    <t>* 보험금 10,000으로 고정/숫자만 입력</t>
    <phoneticPr fontId="2" type="noConversion"/>
  </si>
  <si>
    <t>사망률</t>
    <phoneticPr fontId="2" type="noConversion"/>
  </si>
  <si>
    <t>구분</t>
    <phoneticPr fontId="2" type="noConversion"/>
  </si>
  <si>
    <t>PV(유입)_보험료</t>
    <phoneticPr fontId="2" type="noConversion"/>
  </si>
  <si>
    <t>PV(유출)_보험금</t>
    <phoneticPr fontId="2" type="noConversion"/>
  </si>
  <si>
    <t>최선추정부채(BEL)</t>
    <phoneticPr fontId="2" type="noConversion"/>
  </si>
  <si>
    <t>위험조정(RA)</t>
    <phoneticPr fontId="2" type="noConversion"/>
  </si>
  <si>
    <t>이행현금흐름(FCF)</t>
    <phoneticPr fontId="2" type="noConversion"/>
  </si>
  <si>
    <t>보험계약마진(CSM)</t>
    <phoneticPr fontId="2" type="noConversion"/>
  </si>
  <si>
    <t>보험계약부채</t>
    <phoneticPr fontId="2" type="noConversion"/>
  </si>
  <si>
    <t>해약환급금</t>
    <phoneticPr fontId="2" type="noConversion"/>
  </si>
  <si>
    <t>데이터시트의 할인율, 해약률, 사업비율,직접사업비, 해약환급금,사망률 자동입력됨</t>
    <phoneticPr fontId="2" type="noConversion"/>
  </si>
  <si>
    <t>* n년 만기 정기보험이라 가정(보험기간 변동가능)</t>
    <phoneticPr fontId="2" type="noConversion"/>
  </si>
  <si>
    <t>피보험자 나이(세)</t>
    <phoneticPr fontId="2" type="noConversion"/>
  </si>
  <si>
    <t>RUN:20251101_121359</t>
    <phoneticPr fontId="2" type="noConversion"/>
  </si>
  <si>
    <t>보험기간(년)</t>
    <phoneticPr fontId="2" type="noConversion"/>
  </si>
  <si>
    <t>사망보험금</t>
    <phoneticPr fontId="2" type="noConversion"/>
  </si>
  <si>
    <t>1차년도</t>
    <phoneticPr fontId="2" type="noConversion"/>
  </si>
  <si>
    <t>2차년도</t>
    <phoneticPr fontId="2" type="noConversion"/>
  </si>
  <si>
    <t>3차년도</t>
    <phoneticPr fontId="2" type="noConversion"/>
  </si>
  <si>
    <t>4차년도</t>
    <phoneticPr fontId="2" type="noConversion"/>
  </si>
  <si>
    <t>5차년도</t>
    <phoneticPr fontId="2" type="noConversion"/>
  </si>
  <si>
    <t>6차년도</t>
    <phoneticPr fontId="2" type="noConversion"/>
  </si>
  <si>
    <t>7차년도</t>
    <phoneticPr fontId="2" type="noConversion"/>
  </si>
  <si>
    <t>C5=7.0</t>
    <phoneticPr fontId="2" type="noConversion"/>
  </si>
  <si>
    <t>여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</si>
</sst>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\[0\]"/>
    <numFmt numFmtId="177" formatCode="0.000000"/>
    <numFmt numFmtId="178" formatCode="0_);[Red]\(0\)"/>
    <numFmt numFmtId="179" formatCode="0.000%"/>
  </numFmts>
  <fonts count="21" x14ac:knownFonts="1"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color theme="1"/>
      <name val="Arial Narrow"/>
      <family val="2"/>
    </font>
    <font>
      <sz val="11"/>
      <color theme="1"/>
      <name val="Arial"/>
      <family val="2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name val="Arial"/>
      <family val="2"/>
    </font>
    <font>
      <sz val="11"/>
      <color theme="1"/>
      <name val="맑은 고딕"/>
      <family val="3"/>
      <charset val="129"/>
      <scheme val="minor"/>
    </font>
    <font>
      <sz val="11"/>
      <color indexed="8"/>
      <name val="맑은 고딕"/>
      <family val="2"/>
      <scheme val="minor"/>
    </font>
    <font>
      <b/>
      <sz val="9"/>
      <color indexed="8"/>
      <name val="돋움"/>
      <family val="3"/>
      <charset val="129"/>
    </font>
    <font>
      <sz val="9"/>
      <name val="돋움"/>
      <family val="3"/>
      <charset val="129"/>
    </font>
    <font>
      <sz val="10"/>
      <color indexed="8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color indexed="8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indexed="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2EFDA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8">
    <xf numFmtId="0" fontId="0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5" fillId="0" borderId="0"/>
    <xf numFmtId="176" fontId="6" fillId="2" borderId="0" applyBorder="0">
      <alignment horizontal="center" vertical="center"/>
    </xf>
    <xf numFmtId="0" fontId="7" fillId="3" borderId="2" applyFont="0" applyBorder="0" applyAlignment="0">
      <alignment horizontal="left" indent="1"/>
    </xf>
    <xf numFmtId="0" fontId="10" fillId="0" borderId="0"/>
    <xf numFmtId="0" fontId="12" fillId="0" borderId="0">
      <alignment vertical="center"/>
    </xf>
    <xf numFmtId="41" fontId="4" fillId="0" borderId="0" applyFont="0" applyFill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0" fontId="1" fillId="0" borderId="0" xfId="0" applyFont="1">
      <alignment vertical="center"/>
    </xf>
    <xf numFmtId="0" fontId="3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10" fontId="9" fillId="0" borderId="1" xfId="1" applyNumberFormat="1" applyFont="1" applyFill="1" applyBorder="1" applyAlignment="1">
      <alignment horizontal="center" vertical="center"/>
    </xf>
    <xf numFmtId="10" fontId="8" fillId="0" borderId="1" xfId="0" applyNumberFormat="1" applyFont="1" applyBorder="1" applyAlignment="1">
      <alignment horizontal="center"/>
    </xf>
    <xf numFmtId="0" fontId="13" fillId="0" borderId="0" xfId="6" applyFont="1" applyAlignment="1">
      <alignment horizontal="center" vertical="center"/>
    </xf>
    <xf numFmtId="0" fontId="11" fillId="0" borderId="0" xfId="0" applyFont="1">
      <alignment vertical="center"/>
    </xf>
    <xf numFmtId="3" fontId="14" fillId="0" borderId="0" xfId="6" applyNumberFormat="1" applyFont="1" applyAlignment="1">
      <alignment horizontal="right" vertical="center"/>
    </xf>
    <xf numFmtId="3" fontId="8" fillId="4" borderId="3" xfId="6" applyNumberFormat="1" applyFont="1" applyFill="1" applyBorder="1" applyAlignment="1">
      <alignment horizontal="right" vertical="center"/>
    </xf>
    <xf numFmtId="3" fontId="8" fillId="4" borderId="1" xfId="6" applyNumberFormat="1" applyFont="1" applyFill="1" applyBorder="1" applyAlignment="1">
      <alignment horizontal="right" vertical="center"/>
    </xf>
    <xf numFmtId="10" fontId="9" fillId="0" borderId="1" xfId="1" applyNumberFormat="1" applyFont="1" applyBorder="1">
      <alignment vertical="center"/>
    </xf>
    <xf numFmtId="10" fontId="9" fillId="0" borderId="1" xfId="0" applyNumberFormat="1" applyFont="1" applyBorder="1" applyAlignment="1">
      <alignment horizontal="center" vertical="center"/>
    </xf>
    <xf numFmtId="0" fontId="0" fillId="0" borderId="0" xfId="0" applyProtection="1">
      <alignment vertical="center"/>
      <protection locked="0"/>
    </xf>
    <xf numFmtId="0" fontId="16" fillId="0" borderId="0" xfId="0" applyFont="1" applyProtection="1">
      <alignment vertical="center"/>
      <protection locked="0"/>
    </xf>
    <xf numFmtId="0" fontId="0" fillId="5" borderId="1" xfId="0" applyFill="1" applyBorder="1" applyProtection="1">
      <alignment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0" fontId="16" fillId="0" borderId="0" xfId="0" applyFont="1">
      <alignment vertical="center"/>
    </xf>
    <xf numFmtId="0" fontId="0" fillId="6" borderId="4" xfId="0" applyFill="1" applyBorder="1" applyProtection="1">
      <alignment vertical="center"/>
      <protection locked="0"/>
    </xf>
    <xf numFmtId="0" fontId="9" fillId="6" borderId="1" xfId="0" applyFont="1" applyFill="1" applyBorder="1">
      <alignment vertical="center"/>
    </xf>
    <xf numFmtId="0" fontId="15" fillId="6" borderId="3" xfId="6" applyFont="1" applyFill="1" applyBorder="1" applyAlignment="1">
      <alignment horizontal="center" vertical="center"/>
    </xf>
    <xf numFmtId="0" fontId="15" fillId="6" borderId="1" xfId="6" applyFont="1" applyFill="1" applyBorder="1" applyAlignment="1">
      <alignment horizontal="center" vertical="center"/>
    </xf>
    <xf numFmtId="0" fontId="15" fillId="6" borderId="4" xfId="6" applyFont="1" applyFill="1" applyBorder="1" applyAlignment="1">
      <alignment horizontal="center" vertical="center"/>
    </xf>
    <xf numFmtId="0" fontId="17" fillId="7" borderId="1" xfId="0" applyFont="1" applyFill="1" applyBorder="1">
      <alignment vertical="center"/>
    </xf>
    <xf numFmtId="10" fontId="17" fillId="0" borderId="1" xfId="1" applyNumberFormat="1" applyFont="1" applyFill="1" applyBorder="1" applyAlignment="1">
      <alignment horizontal="center" vertical="center"/>
    </xf>
    <xf numFmtId="0" fontId="18" fillId="7" borderId="1" xfId="6" applyFont="1" applyFill="1" applyBorder="1" applyAlignment="1">
      <alignment horizontal="center" vertical="center"/>
    </xf>
    <xf numFmtId="3" fontId="17" fillId="0" borderId="1" xfId="0" applyNumberFormat="1" applyFont="1" applyBorder="1">
      <alignment vertical="center"/>
    </xf>
    <xf numFmtId="10" fontId="17" fillId="0" borderId="1" xfId="1" applyNumberFormat="1" applyFont="1" applyBorder="1">
      <alignment vertical="center"/>
    </xf>
    <xf numFmtId="0" fontId="0" fillId="6" borderId="1" xfId="0" applyFill="1" applyBorder="1" applyAlignment="1" applyProtection="1">
      <alignment horizontal="left" vertical="center"/>
      <protection locked="0"/>
    </xf>
    <xf numFmtId="0" fontId="19" fillId="6" borderId="4" xfId="0" applyFont="1" applyFill="1" applyBorder="1">
      <alignment vertical="center"/>
    </xf>
    <xf numFmtId="0" fontId="9" fillId="6" borderId="4" xfId="0" applyFont="1" applyFill="1" applyBorder="1">
      <alignment vertical="center"/>
    </xf>
    <xf numFmtId="10" fontId="17" fillId="0" borderId="4" xfId="0" applyNumberFormat="1" applyFont="1" applyBorder="1">
      <alignment vertical="center"/>
    </xf>
    <xf numFmtId="10" fontId="0" fillId="0" borderId="1" xfId="1" applyNumberFormat="1" applyFont="1" applyBorder="1" applyAlignment="1" applyProtection="1">
      <alignment horizontal="center" vertical="center"/>
      <protection locked="0"/>
    </xf>
    <xf numFmtId="10" fontId="9" fillId="0" borderId="4" xfId="1" applyNumberFormat="1" applyFont="1" applyBorder="1">
      <alignment vertical="center"/>
    </xf>
    <xf numFmtId="41" fontId="0" fillId="0" borderId="1" xfId="7" applyFont="1" applyBorder="1" applyAlignment="1" applyProtection="1">
      <alignment horizontal="right" vertical="center"/>
      <protection locked="0"/>
    </xf>
    <xf numFmtId="177" fontId="0" fillId="0" borderId="4" xfId="0" applyNumberFormat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178" fontId="0" fillId="0" borderId="1" xfId="0" applyNumberFormat="1" applyBorder="1" applyAlignment="1" applyProtection="1">
      <alignment horizontal="right" vertical="center"/>
      <protection locked="0"/>
    </xf>
    <xf numFmtId="178" fontId="0" fillId="0" borderId="1" xfId="7" applyNumberFormat="1" applyFont="1" applyBorder="1" applyAlignment="1" applyProtection="1">
      <alignment horizontal="right" vertical="center"/>
      <protection locked="0"/>
    </xf>
    <xf numFmtId="0" fontId="20" fillId="8" borderId="0" xfId="0" applyFont="1" applyFill="1">
      <alignment vertical="center"/>
    </xf>
    <xf numFmtId="0" fontId="20" fillId="0" borderId="0" xfId="0" applyFont="1">
      <alignment vertical="center"/>
    </xf>
    <xf numFmtId="41" fontId="0" fillId="0" borderId="4" xfId="7" applyFont="1" applyBorder="1" applyProtection="1">
      <alignment vertical="center"/>
      <protection locked="0"/>
    </xf>
    <xf numFmtId="0" fontId="0" fillId="0" borderId="0" xfId="1" applyNumberFormat="1" applyFont="1" applyBorder="1" applyAlignment="1" applyProtection="1">
      <alignment horizontal="center" vertical="center"/>
      <protection locked="0"/>
    </xf>
    <xf numFmtId="179" fontId="0" fillId="0" borderId="4" xfId="1" applyNumberFormat="1" applyFont="1" applyBorder="1" applyProtection="1">
      <alignment vertical="center"/>
      <protection locked="0"/>
    </xf>
    <xf numFmtId="0" fontId="0" fillId="0" borderId="0" xfId="0" applyBorder="1">
      <alignment vertical="center"/>
    </xf>
    <xf numFmtId="0" fontId="0" fillId="9" borderId="5" xfId="0" applyFill="1" applyBorder="1">
      <alignment vertical="center"/>
    </xf>
    <xf numFmtId="0" fontId="0" fillId="9" borderId="6" xfId="0" applyFill="1" applyBorder="1">
      <alignment vertical="center"/>
    </xf>
    <xf numFmtId="0" fontId="0" fillId="0" borderId="6" xfId="0" applyBorder="1">
      <alignment vertical="center"/>
    </xf>
    <xf numFmtId="0" fontId="0" fillId="0" borderId="0" xfId="0" applyFill="1" applyBorder="1">
      <alignment vertical="center"/>
    </xf>
    <xf numFmtId="0" fontId="0" fillId="0" borderId="7" xfId="0" applyFill="1" applyBorder="1">
      <alignment vertical="center"/>
    </xf>
    <xf numFmtId="0" fontId="0" fillId="0" borderId="7" xfId="0" applyBorder="1">
      <alignment vertical="center"/>
    </xf>
  </cellXfs>
  <cellStyles count="8">
    <cellStyle name="IAIS.FT_RCode" xfId="3" xr:uid="{8F6341CC-08F3-4E1B-B3B8-3F61830064EA}"/>
    <cellStyle name="IAIS_FT.Caption 2" xfId="4" xr:uid="{2A6A96DD-14A5-4191-AC1C-CB8BD031BF44}"/>
    <cellStyle name="백분율" xfId="1" builtinId="5"/>
    <cellStyle name="쉼표 [0]" xfId="7" builtinId="6"/>
    <cellStyle name="표준" xfId="0" builtinId="0"/>
    <cellStyle name="표준 2" xfId="2" xr:uid="{F9ED06C2-1EDA-465D-A38D-2699D2BA4CD1}"/>
    <cellStyle name="표준 3" xfId="5" xr:uid="{A82FD536-D0C5-4CF5-BCB1-10152A98262F}"/>
    <cellStyle name="표준 4" xfId="6" xr:uid="{FEE24099-C73B-4FCC-906D-B1D2C3E841B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7</xdr:row>
      <xdr:rowOff>0</xdr:rowOff>
    </xdr:to>
    <xdr:sp macro="[0]!importdatafromcsv" textlink="">
      <xdr:nvSpPr>
        <xdr:cNvPr id="2" name="직사각형 1">
          <a:extLst>
            <a:ext uri="{FF2B5EF4-FFF2-40B4-BE49-F238E27FC236}">
              <a16:creationId xmlns:a16="http://schemas.microsoft.com/office/drawing/2014/main" id="{B4BD4BE9-07D6-7ABA-017E-E8001CBEF8F8}"/>
            </a:ext>
          </a:extLst>
        </xdr:cNvPr>
        <xdr:cNvSpPr/>
      </xdr:nvSpPr>
      <xdr:spPr>
        <a:xfrm>
          <a:off x="2880360" y="487680"/>
          <a:ext cx="670560" cy="115062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ko-KR" sz="1800">
            <a:solidFill>
              <a:schemeClr val="tx1"/>
            </a:solidFill>
          </a:endParaRPr>
        </a:p>
        <a:p>
          <a:pPr algn="ctr"/>
          <a:r>
            <a:rPr lang="ko-KR" altLang="en-US" sz="1800">
              <a:solidFill>
                <a:schemeClr val="tx1"/>
              </a:solidFill>
            </a:rPr>
            <a:t>입력</a:t>
          </a:r>
          <a:endParaRPr lang="en-US" altLang="ko-KR" sz="1800">
            <a:solidFill>
              <a:schemeClr val="tx1"/>
            </a:solidFill>
          </a:endParaRPr>
        </a:p>
        <a:p>
          <a:pPr algn="l"/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6</xdr:col>
      <xdr:colOff>0</xdr:colOff>
      <xdr:row>4</xdr:row>
      <xdr:rowOff>0</xdr:rowOff>
    </xdr:to>
    <xdr:sp macro="[0]!RunPythonSyncLayoutSafe" textlink="">
      <xdr:nvSpPr>
        <xdr:cNvPr id="2" name="직사각형 1">
          <a:extLst>
            <a:ext uri="{FF2B5EF4-FFF2-40B4-BE49-F238E27FC236}">
              <a16:creationId xmlns:a16="http://schemas.microsoft.com/office/drawing/2014/main" id="{F1389CC6-15CE-3D12-7120-D6E040ACDAD1}"/>
            </a:ext>
          </a:extLst>
        </xdr:cNvPr>
        <xdr:cNvSpPr/>
      </xdr:nvSpPr>
      <xdr:spPr>
        <a:xfrm>
          <a:off x="2682240" y="220980"/>
          <a:ext cx="1341120" cy="66294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계산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60C0-9B58-4080-B182-25C93F69317B}">
  <sheetPr codeName="Sheet1"/>
  <dimension ref="B1:Z14"/>
  <sheetViews>
    <sheetView workbookViewId="0">
      <selection activeCell="J11" sqref="J11"/>
    </sheetView>
  </sheetViews>
  <sheetFormatPr defaultRowHeight="17.399999999999999" x14ac:dyDescent="0.4"/>
  <cols>
    <col min="1" max="1" width="8.796875" style="13"/>
    <col min="2" max="2" width="18.296875" style="13" bestFit="1" customWidth="1"/>
    <col min="3" max="3" width="10.69921875" style="13" bestFit="1" customWidth="1"/>
    <col min="4" max="16384" width="8.796875" style="13"/>
  </cols>
  <sheetData>
    <row r="1" spans="2:26" ht="19.2" x14ac:dyDescent="0.4">
      <c r="B1" s="14" t="s">
        <v>153</v>
      </c>
      <c r="Z1" s="13" t="s">
        <v>167</v>
      </c>
    </row>
    <row r="2" spans="2:26" ht="19.2" x14ac:dyDescent="0.4">
      <c r="B2" s="14" t="s">
        <v>165</v>
      </c>
    </row>
    <row r="3" spans="2:26" x14ac:dyDescent="0.4">
      <c r="B3" s="15" t="s">
        <v>40</v>
      </c>
      <c r="C3" s="36" t="s">
        <v>178</v>
      </c>
    </row>
    <row r="4" spans="2:26" ht="19.2" x14ac:dyDescent="0.4">
      <c r="B4" s="16" t="s">
        <v>166</v>
      </c>
      <c r="C4" s="37">
        <v>24</v>
      </c>
      <c r="E4" s="14" t="s">
        <v>148</v>
      </c>
    </row>
    <row r="5" spans="2:26" ht="19.2" x14ac:dyDescent="0.4">
      <c r="B5" s="16" t="s">
        <v>168</v>
      </c>
      <c r="C5" s="38">
        <v>7</v>
      </c>
      <c r="E5" s="14" t="s">
        <v>164</v>
      </c>
    </row>
    <row r="6" spans="2:26" x14ac:dyDescent="0.4">
      <c r="B6" s="16" t="s">
        <v>39</v>
      </c>
      <c r="C6" s="34">
        <v>1200</v>
      </c>
    </row>
    <row r="7" spans="2:26" x14ac:dyDescent="0.4">
      <c r="B7" s="16" t="s">
        <v>169</v>
      </c>
      <c r="C7" s="34">
        <v>10000</v>
      </c>
    </row>
    <row r="8" spans="2:26" x14ac:dyDescent="0.4">
      <c r="B8" s="28" t="s">
        <v>0</v>
      </c>
      <c r="C8" s="32">
        <v>3.0312358683219433E-2</v>
      </c>
    </row>
    <row r="9" spans="2:26" x14ac:dyDescent="0.4">
      <c r="B9" s="28" t="s">
        <v>1</v>
      </c>
      <c r="C9" s="32">
        <v>2.0599928993447189E-2</v>
      </c>
    </row>
    <row r="10" spans="2:26" x14ac:dyDescent="0.4">
      <c r="B10" s="28" t="s">
        <v>8</v>
      </c>
      <c r="C10" s="32">
        <v>0.12230000000000001</v>
      </c>
    </row>
    <row r="11" spans="2:26" x14ac:dyDescent="0.4">
      <c r="B11" s="18" t="s">
        <v>149</v>
      </c>
      <c r="C11" s="35">
        <v>1.0191666666666667E-4</v>
      </c>
    </row>
    <row r="12" spans="2:26" x14ac:dyDescent="0.4">
      <c r="B12" s="18" t="s">
        <v>163</v>
      </c>
      <c r="C12" s="41">
        <v>1335269.7727272727</v>
      </c>
    </row>
    <row r="13" spans="2:26" x14ac:dyDescent="0.4">
      <c r="C13" s="42"/>
    </row>
    <row r="14" spans="2:26" x14ac:dyDescent="0.4">
      <c r="B14" s="18" t="s">
        <v>154</v>
      </c>
      <c r="C14" s="43">
        <v>3.2000000000000003E-4</v>
      </c>
    </row>
  </sheetData>
  <sheetProtection selectLockedCells="1"/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DEE01-BE00-4ED5-907D-307D1764060A}">
  <sheetPr codeName="Sheet2"/>
  <dimension ref="A1:AG103"/>
  <sheetViews>
    <sheetView tabSelected="1" topLeftCell="A19" zoomScaleNormal="100" workbookViewId="0">
      <selection activeCell="E29" sqref="E29"/>
    </sheetView>
  </sheetViews>
  <sheetFormatPr defaultRowHeight="17.399999999999999" x14ac:dyDescent="0.4"/>
  <cols>
    <col min="2" max="3" width="16.8984375" bestFit="1" customWidth="1"/>
    <col min="5" max="5" width="11" customWidth="1"/>
    <col min="7" max="7" width="9.59765625" bestFit="1" customWidth="1"/>
    <col min="9" max="9" width="21.69921875" bestFit="1" customWidth="1"/>
    <col min="10" max="10" width="9.19921875" bestFit="1" customWidth="1"/>
    <col min="11" max="11" width="14.3984375" bestFit="1" customWidth="1"/>
    <col min="13" max="13" width="10.5" bestFit="1" customWidth="1"/>
  </cols>
  <sheetData>
    <row r="1" spans="1:33" ht="19.2" x14ac:dyDescent="0.4">
      <c r="A1" s="17" t="s">
        <v>147</v>
      </c>
      <c r="E1" s="17" t="s">
        <v>145</v>
      </c>
      <c r="I1" s="17" t="s">
        <v>146</v>
      </c>
      <c r="M1" s="6"/>
      <c r="N1" s="7"/>
      <c r="AG1" s="39"/>
    </row>
    <row r="2" spans="1:33" x14ac:dyDescent="0.4">
      <c r="A2" t="s">
        <v>41</v>
      </c>
      <c r="B2" t="s">
        <v>42</v>
      </c>
      <c r="C2" t="s">
        <v>43</v>
      </c>
      <c r="E2" s="19" t="s">
        <v>35</v>
      </c>
      <c r="F2" s="19" t="s">
        <v>0</v>
      </c>
      <c r="G2" s="19" t="s">
        <v>9</v>
      </c>
      <c r="I2" s="19" t="s">
        <v>37</v>
      </c>
      <c r="J2" s="20" t="s">
        <v>11</v>
      </c>
      <c r="K2" s="19" t="s">
        <v>34</v>
      </c>
      <c r="L2" s="19" t="s">
        <v>1</v>
      </c>
      <c r="M2" s="8"/>
    </row>
    <row r="3" spans="1:33" x14ac:dyDescent="0.35">
      <c r="A3" t="s">
        <v>44</v>
      </c>
      <c r="B3">
        <v>2.14E-3</v>
      </c>
      <c r="C3">
        <v>2.6800000000000001E-3</v>
      </c>
      <c r="E3" s="19">
        <v>0.25</v>
      </c>
      <c r="F3" s="4">
        <v>2.7719956103648552E-2</v>
      </c>
      <c r="G3" s="5">
        <v>2.349E-2</v>
      </c>
      <c r="I3" s="21" t="s">
        <v>12</v>
      </c>
      <c r="J3" s="9">
        <v>3226009</v>
      </c>
      <c r="K3" s="10">
        <v>292394330</v>
      </c>
      <c r="L3" s="11">
        <f>J3/K3</f>
        <v>1.1033076462187211E-2</v>
      </c>
      <c r="M3" s="8"/>
    </row>
    <row r="4" spans="1:33" x14ac:dyDescent="0.35">
      <c r="A4" t="s">
        <v>45</v>
      </c>
      <c r="B4">
        <v>1.3999999999999999E-4</v>
      </c>
      <c r="C4">
        <v>2.3000000000000001E-4</v>
      </c>
      <c r="E4" s="19">
        <v>0.5</v>
      </c>
      <c r="F4" s="4">
        <v>2.7248535240306123E-2</v>
      </c>
      <c r="G4" s="5">
        <v>2.308E-2</v>
      </c>
      <c r="I4" s="21" t="s">
        <v>13</v>
      </c>
      <c r="J4" s="9">
        <v>593180</v>
      </c>
      <c r="K4" s="10">
        <v>44866455</v>
      </c>
      <c r="L4" s="11">
        <f t="shared" ref="L4:L24" si="0">J4/K4</f>
        <v>1.3221013338361589E-2</v>
      </c>
      <c r="M4" s="8"/>
    </row>
    <row r="5" spans="1:33" x14ac:dyDescent="0.35">
      <c r="A5" t="s">
        <v>46</v>
      </c>
      <c r="B5">
        <v>1.3999999999999999E-4</v>
      </c>
      <c r="C5">
        <v>1.4999999999999999E-4</v>
      </c>
      <c r="E5" s="19">
        <v>0.75</v>
      </c>
      <c r="F5" s="4">
        <v>2.7044374032535991E-2</v>
      </c>
      <c r="G5" s="5">
        <v>2.2939999999999999E-2</v>
      </c>
      <c r="I5" s="22" t="s">
        <v>14</v>
      </c>
      <c r="J5" s="9">
        <v>7491266</v>
      </c>
      <c r="K5" s="10">
        <v>547845653</v>
      </c>
      <c r="L5" s="11">
        <f t="shared" si="0"/>
        <v>1.3674044795240895E-2</v>
      </c>
      <c r="M5" s="8"/>
    </row>
    <row r="6" spans="1:33" x14ac:dyDescent="0.35">
      <c r="A6" t="s">
        <v>47</v>
      </c>
      <c r="B6">
        <v>1.2999999999999999E-4</v>
      </c>
      <c r="C6">
        <v>1.1E-4</v>
      </c>
      <c r="E6" s="19">
        <v>1</v>
      </c>
      <c r="F6" s="4">
        <v>2.7218834379276528E-2</v>
      </c>
      <c r="G6" s="5">
        <v>2.3050000000000001E-2</v>
      </c>
      <c r="I6" s="22" t="s">
        <v>15</v>
      </c>
      <c r="J6" s="9">
        <v>1046380</v>
      </c>
      <c r="K6" s="10">
        <v>54864519</v>
      </c>
      <c r="L6" s="11">
        <f t="shared" si="0"/>
        <v>1.9072070968124227E-2</v>
      </c>
      <c r="M6" s="8"/>
    </row>
    <row r="7" spans="1:33" x14ac:dyDescent="0.35">
      <c r="A7" t="s">
        <v>48</v>
      </c>
      <c r="B7">
        <v>1.1E-4</v>
      </c>
      <c r="C7">
        <v>9.0000000000000006E-5</v>
      </c>
      <c r="E7" s="19">
        <v>1.5</v>
      </c>
      <c r="F7" s="4">
        <v>2.8832676137003504E-2</v>
      </c>
      <c r="G7" s="5">
        <v>2.4670000000000001E-2</v>
      </c>
      <c r="I7" s="22" t="s">
        <v>16</v>
      </c>
      <c r="J7" s="9">
        <v>3293562</v>
      </c>
      <c r="K7" s="10">
        <v>270361792</v>
      </c>
      <c r="L7" s="11">
        <f t="shared" si="0"/>
        <v>1.2182054186118133E-2</v>
      </c>
      <c r="M7" s="8"/>
    </row>
    <row r="8" spans="1:33" x14ac:dyDescent="0.35">
      <c r="A8" t="s">
        <v>49</v>
      </c>
      <c r="B8">
        <v>9.0000000000000006E-5</v>
      </c>
      <c r="C8">
        <v>9.0000000000000006E-5</v>
      </c>
      <c r="E8" s="19">
        <v>2</v>
      </c>
      <c r="F8" s="4">
        <v>2.9359264518299934E-2</v>
      </c>
      <c r="G8" s="5">
        <v>2.52E-2</v>
      </c>
      <c r="I8" s="22" t="s">
        <v>17</v>
      </c>
      <c r="J8" s="9">
        <v>266377</v>
      </c>
      <c r="K8" s="10">
        <v>15649217</v>
      </c>
      <c r="L8" s="11">
        <f t="shared" si="0"/>
        <v>1.7021746199825844E-2</v>
      </c>
      <c r="M8" s="8"/>
    </row>
    <row r="9" spans="1:33" x14ac:dyDescent="0.35">
      <c r="A9" t="s">
        <v>50</v>
      </c>
      <c r="B9">
        <v>6.9999999999999994E-5</v>
      </c>
      <c r="C9">
        <v>9.0000000000000006E-5</v>
      </c>
      <c r="E9" s="19">
        <v>2.5</v>
      </c>
      <c r="F9" s="4">
        <v>2.9727797915992189E-2</v>
      </c>
      <c r="G9" s="5">
        <v>2.5569999999999999E-2</v>
      </c>
      <c r="I9" s="22" t="s">
        <v>18</v>
      </c>
      <c r="J9" s="9">
        <v>1600318</v>
      </c>
      <c r="K9" s="10">
        <v>76788727</v>
      </c>
      <c r="L9" s="11">
        <f t="shared" si="0"/>
        <v>2.0840533012091735E-2</v>
      </c>
      <c r="M9" s="8"/>
    </row>
    <row r="10" spans="1:33" x14ac:dyDescent="0.35">
      <c r="A10" t="s">
        <v>51</v>
      </c>
      <c r="B10">
        <v>6.0000000000000002E-5</v>
      </c>
      <c r="C10">
        <v>8.0000000000000007E-5</v>
      </c>
      <c r="E10" s="19">
        <v>3</v>
      </c>
      <c r="F10" s="4">
        <v>2.9976946052064316E-2</v>
      </c>
      <c r="G10" s="5">
        <v>2.5819999999999999E-2</v>
      </c>
      <c r="I10" s="22" t="s">
        <v>19</v>
      </c>
      <c r="J10" s="9">
        <v>779895</v>
      </c>
      <c r="K10" s="10">
        <v>44365048</v>
      </c>
      <c r="L10" s="11">
        <f t="shared" si="0"/>
        <v>1.7579041050513458E-2</v>
      </c>
      <c r="M10" s="8"/>
    </row>
    <row r="11" spans="1:33" x14ac:dyDescent="0.35">
      <c r="A11" t="s">
        <v>52</v>
      </c>
      <c r="B11">
        <v>6.0000000000000002E-5</v>
      </c>
      <c r="C11">
        <v>6.0000000000000002E-5</v>
      </c>
      <c r="E11" s="19">
        <v>4</v>
      </c>
      <c r="F11" s="4">
        <v>3.1198928107917537E-2</v>
      </c>
      <c r="G11" s="5">
        <v>2.7019999999999999E-2</v>
      </c>
      <c r="I11" s="22" t="s">
        <v>20</v>
      </c>
      <c r="J11" s="9">
        <v>367459</v>
      </c>
      <c r="K11" s="10">
        <v>43330936</v>
      </c>
      <c r="L11" s="11">
        <f t="shared" si="0"/>
        <v>8.4802922327826009E-3</v>
      </c>
      <c r="M11" s="8"/>
    </row>
    <row r="12" spans="1:33" x14ac:dyDescent="0.35">
      <c r="A12" t="s">
        <v>53</v>
      </c>
      <c r="B12">
        <v>6.0000000000000002E-5</v>
      </c>
      <c r="C12">
        <v>6.0000000000000002E-5</v>
      </c>
      <c r="E12" s="19">
        <v>5</v>
      </c>
      <c r="F12" s="4">
        <v>3.1495596204802259E-2</v>
      </c>
      <c r="G12" s="5">
        <v>2.7320000000000001E-2</v>
      </c>
      <c r="I12" s="22" t="s">
        <v>21</v>
      </c>
      <c r="J12" s="9">
        <v>1016498</v>
      </c>
      <c r="K12" s="10">
        <v>81213187</v>
      </c>
      <c r="L12" s="11">
        <f t="shared" si="0"/>
        <v>1.2516415591472848E-2</v>
      </c>
      <c r="M12" s="8"/>
    </row>
    <row r="13" spans="1:33" x14ac:dyDescent="0.35">
      <c r="A13" t="s">
        <v>54</v>
      </c>
      <c r="B13">
        <v>6.9999999999999994E-5</v>
      </c>
      <c r="C13">
        <v>6.0000000000000002E-5</v>
      </c>
      <c r="E13" s="19">
        <v>7</v>
      </c>
      <c r="F13" s="4">
        <v>3.2854170785315655E-2</v>
      </c>
      <c r="G13" s="5">
        <v>2.862E-2</v>
      </c>
      <c r="I13" s="22" t="s">
        <v>22</v>
      </c>
      <c r="J13" s="9">
        <v>883592</v>
      </c>
      <c r="K13" s="10">
        <v>68707435</v>
      </c>
      <c r="L13" s="11">
        <f t="shared" si="0"/>
        <v>1.2860209379086848E-2</v>
      </c>
      <c r="M13" s="8"/>
    </row>
    <row r="14" spans="1:33" x14ac:dyDescent="0.35">
      <c r="A14" t="s">
        <v>55</v>
      </c>
      <c r="B14">
        <v>8.0000000000000007E-5</v>
      </c>
      <c r="C14">
        <v>6.9999999999999994E-5</v>
      </c>
      <c r="E14" s="19">
        <v>10</v>
      </c>
      <c r="F14" s="4">
        <v>3.3656279821290741E-2</v>
      </c>
      <c r="G14" s="5">
        <v>2.9399999999999999E-2</v>
      </c>
      <c r="I14" s="22" t="s">
        <v>23</v>
      </c>
      <c r="J14" s="9">
        <v>1495516</v>
      </c>
      <c r="K14" s="10">
        <v>84640449</v>
      </c>
      <c r="L14" s="11">
        <f t="shared" si="0"/>
        <v>1.7669046155461676E-2</v>
      </c>
      <c r="M14" s="8"/>
    </row>
    <row r="15" spans="1:33" x14ac:dyDescent="0.35">
      <c r="A15" t="s">
        <v>56</v>
      </c>
      <c r="B15">
        <v>1E-4</v>
      </c>
      <c r="C15">
        <v>1E-4</v>
      </c>
      <c r="E15" s="19">
        <v>15</v>
      </c>
      <c r="F15" s="4">
        <v>3.3752971129300764E-2</v>
      </c>
      <c r="G15" s="5">
        <v>2.955E-2</v>
      </c>
      <c r="I15" s="22" t="s">
        <v>24</v>
      </c>
      <c r="J15" s="9">
        <v>2348781</v>
      </c>
      <c r="K15" s="10">
        <v>177035336</v>
      </c>
      <c r="L15" s="11">
        <f t="shared" si="0"/>
        <v>1.3267300489660436E-2</v>
      </c>
      <c r="M15" s="8"/>
    </row>
    <row r="16" spans="1:33" x14ac:dyDescent="0.35">
      <c r="A16" t="s">
        <v>57</v>
      </c>
      <c r="B16">
        <v>1.2E-4</v>
      </c>
      <c r="C16">
        <v>1.2999999999999999E-4</v>
      </c>
      <c r="E16" s="19">
        <v>20</v>
      </c>
      <c r="F16" s="4">
        <v>3.299286147136541E-2</v>
      </c>
      <c r="G16" s="5">
        <v>2.8969999999999999E-2</v>
      </c>
      <c r="I16" s="22" t="s">
        <v>25</v>
      </c>
      <c r="J16" s="9">
        <v>51714</v>
      </c>
      <c r="K16" s="10">
        <v>4019575</v>
      </c>
      <c r="L16" s="11">
        <f t="shared" si="0"/>
        <v>1.2865539267211085E-2</v>
      </c>
      <c r="M16" s="8"/>
    </row>
    <row r="17" spans="1:13" x14ac:dyDescent="0.35">
      <c r="A17" t="s">
        <v>58</v>
      </c>
      <c r="B17">
        <v>1.4999999999999999E-4</v>
      </c>
      <c r="C17">
        <v>1.6000000000000001E-4</v>
      </c>
      <c r="E17" s="19">
        <v>30</v>
      </c>
      <c r="F17" s="4">
        <v>3.2063070330363673E-2</v>
      </c>
      <c r="G17" s="5">
        <v>2.827E-2</v>
      </c>
      <c r="I17" s="22" t="s">
        <v>26</v>
      </c>
      <c r="J17" s="9">
        <v>351584</v>
      </c>
      <c r="K17" s="10">
        <v>10061473</v>
      </c>
      <c r="L17" s="11">
        <f t="shared" si="0"/>
        <v>3.4943591261438561E-2</v>
      </c>
      <c r="M17" s="8"/>
    </row>
    <row r="18" spans="1:13" x14ac:dyDescent="0.35">
      <c r="A18" t="s">
        <v>59</v>
      </c>
      <c r="B18">
        <v>1.8000000000000001E-4</v>
      </c>
      <c r="C18">
        <v>2.0000000000000001E-4</v>
      </c>
      <c r="E18" s="19">
        <v>50</v>
      </c>
      <c r="F18" s="4">
        <v>2.9855476702027751E-2</v>
      </c>
      <c r="G18" s="5">
        <v>2.6749999999999999E-2</v>
      </c>
      <c r="I18" s="22" t="s">
        <v>27</v>
      </c>
      <c r="J18" s="9">
        <v>239898</v>
      </c>
      <c r="K18" s="10">
        <v>4091791</v>
      </c>
      <c r="L18" s="11">
        <f t="shared" si="0"/>
        <v>5.862909420349182E-2</v>
      </c>
      <c r="M18" s="8"/>
    </row>
    <row r="19" spans="1:13" x14ac:dyDescent="0.4">
      <c r="A19" t="s">
        <v>60</v>
      </c>
      <c r="B19">
        <v>2.0000000000000001E-4</v>
      </c>
      <c r="C19">
        <v>2.3000000000000001E-4</v>
      </c>
      <c r="E19" s="23" t="s">
        <v>10</v>
      </c>
      <c r="F19" s="24">
        <f>AVERAGE(F3:F18)</f>
        <v>3.0312358683219433E-2</v>
      </c>
      <c r="G19" s="12">
        <f>AVERAGE(G3:G18)</f>
        <v>2.6232500000000002E-2</v>
      </c>
      <c r="I19" s="22" t="s">
        <v>28</v>
      </c>
      <c r="J19" s="9">
        <v>1350654</v>
      </c>
      <c r="K19" s="10">
        <v>16966450</v>
      </c>
      <c r="L19" s="11">
        <f t="shared" si="0"/>
        <v>7.9607342726380592E-2</v>
      </c>
      <c r="M19" s="8"/>
    </row>
    <row r="20" spans="1:13" x14ac:dyDescent="0.4">
      <c r="A20" t="s">
        <v>61</v>
      </c>
      <c r="B20">
        <v>2.1000000000000001E-4</v>
      </c>
      <c r="C20">
        <v>2.7E-4</v>
      </c>
      <c r="F20" s="3"/>
      <c r="G20" s="3"/>
      <c r="I20" s="22" t="s">
        <v>29</v>
      </c>
      <c r="J20" s="9">
        <v>177848</v>
      </c>
      <c r="K20" s="10">
        <v>115032219</v>
      </c>
      <c r="L20" s="11">
        <f t="shared" si="0"/>
        <v>1.5460711924543506E-3</v>
      </c>
      <c r="M20" s="8"/>
    </row>
    <row r="21" spans="1:13" x14ac:dyDescent="0.4">
      <c r="A21" t="s">
        <v>62</v>
      </c>
      <c r="B21">
        <v>2.2000000000000001E-4</v>
      </c>
      <c r="C21">
        <v>2.9999999999999997E-4</v>
      </c>
      <c r="I21" s="22" t="s">
        <v>30</v>
      </c>
      <c r="J21" s="9">
        <v>435035</v>
      </c>
      <c r="K21" s="10">
        <v>110387355</v>
      </c>
      <c r="L21" s="11">
        <f t="shared" si="0"/>
        <v>3.9409858130942622E-3</v>
      </c>
      <c r="M21" s="8"/>
    </row>
    <row r="22" spans="1:13" ht="19.2" x14ac:dyDescent="0.4">
      <c r="A22" t="s">
        <v>63</v>
      </c>
      <c r="B22">
        <v>2.3000000000000001E-4</v>
      </c>
      <c r="C22">
        <v>3.4000000000000002E-4</v>
      </c>
      <c r="E22" s="17" t="s">
        <v>152</v>
      </c>
      <c r="I22" s="22" t="s">
        <v>31</v>
      </c>
      <c r="J22" s="9">
        <v>636534</v>
      </c>
      <c r="K22" s="10">
        <v>11896042</v>
      </c>
      <c r="L22" s="11">
        <f t="shared" si="0"/>
        <v>5.350804914777537E-2</v>
      </c>
      <c r="M22" s="8"/>
    </row>
    <row r="23" spans="1:13" x14ac:dyDescent="0.4">
      <c r="A23" t="s">
        <v>64</v>
      </c>
      <c r="B23">
        <v>2.4000000000000001E-4</v>
      </c>
      <c r="C23">
        <v>3.8000000000000002E-4</v>
      </c>
      <c r="E23" s="29" t="s">
        <v>150</v>
      </c>
      <c r="F23" s="30" t="s">
        <v>8</v>
      </c>
      <c r="I23" s="22" t="s">
        <v>32</v>
      </c>
      <c r="J23" s="9">
        <v>1702136</v>
      </c>
      <c r="K23" s="10">
        <v>107531831</v>
      </c>
      <c r="L23" s="11">
        <f t="shared" si="0"/>
        <v>1.5829136211769703E-2</v>
      </c>
      <c r="M23" s="8"/>
    </row>
    <row r="24" spans="1:13" x14ac:dyDescent="0.4">
      <c r="A24" t="s">
        <v>65</v>
      </c>
      <c r="B24">
        <v>2.5999999999999998E-4</v>
      </c>
      <c r="C24">
        <v>4.2000000000000002E-4</v>
      </c>
      <c r="E24" s="30">
        <v>2020</v>
      </c>
      <c r="F24" s="33">
        <v>0.129</v>
      </c>
      <c r="I24" s="22" t="s">
        <v>33</v>
      </c>
      <c r="J24" s="9">
        <v>21699</v>
      </c>
      <c r="K24" s="10">
        <v>7452132</v>
      </c>
      <c r="L24" s="11">
        <f t="shared" si="0"/>
        <v>2.9117841712948725E-3</v>
      </c>
    </row>
    <row r="25" spans="1:13" x14ac:dyDescent="0.4">
      <c r="A25" t="s">
        <v>66</v>
      </c>
      <c r="B25">
        <v>2.7E-4</v>
      </c>
      <c r="C25">
        <v>4.4999999999999999E-4</v>
      </c>
      <c r="E25" s="30">
        <v>2021</v>
      </c>
      <c r="F25" s="33">
        <v>0.124</v>
      </c>
      <c r="I25" s="25" t="s">
        <v>38</v>
      </c>
      <c r="J25" s="26">
        <f>AVERAGE(J3:J24)</f>
        <v>1335269.7727272727</v>
      </c>
      <c r="K25" s="23" t="s">
        <v>36</v>
      </c>
      <c r="L25" s="27">
        <f>AVERAGE(L3:L24)</f>
        <v>2.0599928993447189E-2</v>
      </c>
    </row>
    <row r="26" spans="1:13" x14ac:dyDescent="0.4">
      <c r="A26" t="s">
        <v>67</v>
      </c>
      <c r="B26">
        <v>2.9999999999999997E-4</v>
      </c>
      <c r="C26">
        <v>4.6999999999999999E-4</v>
      </c>
      <c r="E26" s="30">
        <v>2022</v>
      </c>
      <c r="F26" s="33">
        <v>0.114</v>
      </c>
    </row>
    <row r="27" spans="1:13" x14ac:dyDescent="0.4">
      <c r="A27" s="39" t="s">
        <v>68</v>
      </c>
      <c r="B27" s="39">
        <v>3.2000000000000003E-4</v>
      </c>
      <c r="C27">
        <v>4.8000000000000001E-4</v>
      </c>
      <c r="E27" s="23" t="s">
        <v>151</v>
      </c>
      <c r="F27" s="31">
        <v>0.12230000000000001</v>
      </c>
    </row>
    <row r="28" spans="1:13" x14ac:dyDescent="0.4">
      <c r="A28" t="s">
        <v>69</v>
      </c>
      <c r="B28">
        <v>3.3E-4</v>
      </c>
      <c r="C28">
        <v>5.1999999999999995E-4</v>
      </c>
    </row>
    <row r="29" spans="1:13" x14ac:dyDescent="0.4">
      <c r="A29" t="s">
        <v>70</v>
      </c>
      <c r="B29">
        <v>3.3E-4</v>
      </c>
      <c r="C29">
        <v>5.5999999999999995E-4</v>
      </c>
    </row>
    <row r="30" spans="1:13" x14ac:dyDescent="0.4">
      <c r="A30" t="s">
        <v>71</v>
      </c>
      <c r="B30">
        <v>3.2000000000000003E-4</v>
      </c>
      <c r="C30">
        <v>6.0999999999999997E-4</v>
      </c>
    </row>
    <row r="31" spans="1:13" x14ac:dyDescent="0.4">
      <c r="A31" t="s">
        <v>72</v>
      </c>
      <c r="B31">
        <v>3.3E-4</v>
      </c>
      <c r="C31">
        <v>6.4999999999999997E-4</v>
      </c>
    </row>
    <row r="32" spans="1:13" x14ac:dyDescent="0.4">
      <c r="A32" t="s">
        <v>73</v>
      </c>
      <c r="B32">
        <v>3.6000000000000002E-4</v>
      </c>
      <c r="C32">
        <v>6.6E-4</v>
      </c>
    </row>
    <row r="33" spans="1:3" s="40" customFormat="1" x14ac:dyDescent="0.4">
      <c r="A33" t="s">
        <v>74</v>
      </c>
      <c r="B33">
        <v>3.8999999999999999E-4</v>
      </c>
      <c r="C33">
        <v>6.7000000000000002E-4</v>
      </c>
    </row>
    <row r="34" spans="1:3" x14ac:dyDescent="0.4">
      <c r="A34" t="s">
        <v>75</v>
      </c>
      <c r="B34">
        <v>4.2000000000000002E-4</v>
      </c>
      <c r="C34">
        <v>6.8000000000000005E-4</v>
      </c>
    </row>
    <row r="35" spans="1:3" x14ac:dyDescent="0.4">
      <c r="A35" t="s">
        <v>76</v>
      </c>
      <c r="B35">
        <v>4.2999999999999999E-4</v>
      </c>
      <c r="C35">
        <v>6.8999999999999997E-4</v>
      </c>
    </row>
    <row r="36" spans="1:3" x14ac:dyDescent="0.4">
      <c r="A36" t="s">
        <v>77</v>
      </c>
      <c r="B36">
        <v>4.4000000000000002E-4</v>
      </c>
      <c r="C36">
        <v>6.9999999999999999E-4</v>
      </c>
    </row>
    <row r="37" spans="1:3" x14ac:dyDescent="0.4">
      <c r="A37" t="s">
        <v>78</v>
      </c>
      <c r="B37">
        <v>4.6000000000000001E-4</v>
      </c>
      <c r="C37">
        <v>7.2000000000000005E-4</v>
      </c>
    </row>
    <row r="38" spans="1:3" x14ac:dyDescent="0.4">
      <c r="A38" t="s">
        <v>79</v>
      </c>
      <c r="B38">
        <v>4.8000000000000001E-4</v>
      </c>
      <c r="C38">
        <v>7.7999999999999999E-4</v>
      </c>
    </row>
    <row r="39" spans="1:3" x14ac:dyDescent="0.4">
      <c r="A39" t="s">
        <v>80</v>
      </c>
      <c r="B39">
        <v>5.1000000000000004E-4</v>
      </c>
      <c r="C39">
        <v>8.5999999999999998E-4</v>
      </c>
    </row>
    <row r="40" spans="1:3" x14ac:dyDescent="0.4">
      <c r="A40" t="s">
        <v>81</v>
      </c>
      <c r="B40">
        <v>5.5000000000000003E-4</v>
      </c>
      <c r="C40">
        <v>9.3999999999999997E-4</v>
      </c>
    </row>
    <row r="41" spans="1:3" x14ac:dyDescent="0.4">
      <c r="A41" t="s">
        <v>82</v>
      </c>
      <c r="B41">
        <v>5.9999999999999995E-4</v>
      </c>
      <c r="C41">
        <v>1.0200000000000001E-3</v>
      </c>
    </row>
    <row r="42" spans="1:3" x14ac:dyDescent="0.4">
      <c r="A42" t="s">
        <v>83</v>
      </c>
      <c r="B42">
        <v>6.6E-4</v>
      </c>
      <c r="C42">
        <v>1.09E-3</v>
      </c>
    </row>
    <row r="43" spans="1:3" x14ac:dyDescent="0.4">
      <c r="A43" t="s">
        <v>84</v>
      </c>
      <c r="B43">
        <v>7.2000000000000005E-4</v>
      </c>
      <c r="C43">
        <v>1.16E-3</v>
      </c>
    </row>
    <row r="44" spans="1:3" x14ac:dyDescent="0.4">
      <c r="A44" t="s">
        <v>85</v>
      </c>
      <c r="B44">
        <v>7.6999999999999996E-4</v>
      </c>
      <c r="C44">
        <v>1.24E-3</v>
      </c>
    </row>
    <row r="45" spans="1:3" x14ac:dyDescent="0.4">
      <c r="A45" t="s">
        <v>86</v>
      </c>
      <c r="B45">
        <v>8.0999999999999996E-4</v>
      </c>
      <c r="C45">
        <v>1.3600000000000001E-3</v>
      </c>
    </row>
    <row r="46" spans="1:3" x14ac:dyDescent="0.4">
      <c r="A46" t="s">
        <v>87</v>
      </c>
      <c r="B46">
        <v>8.4999999999999995E-4</v>
      </c>
      <c r="C46">
        <v>1.5E-3</v>
      </c>
    </row>
    <row r="47" spans="1:3" x14ac:dyDescent="0.4">
      <c r="A47" t="s">
        <v>88</v>
      </c>
      <c r="B47">
        <v>8.9999999999999998E-4</v>
      </c>
      <c r="C47">
        <v>1.6199999999999999E-3</v>
      </c>
    </row>
    <row r="48" spans="1:3" x14ac:dyDescent="0.4">
      <c r="A48" t="s">
        <v>89</v>
      </c>
      <c r="B48">
        <v>9.6000000000000002E-4</v>
      </c>
      <c r="C48">
        <v>1.72E-3</v>
      </c>
    </row>
    <row r="49" spans="1:3" x14ac:dyDescent="0.4">
      <c r="A49" t="s">
        <v>90</v>
      </c>
      <c r="B49">
        <v>1.0300000000000001E-3</v>
      </c>
      <c r="C49">
        <v>1.8400000000000001E-3</v>
      </c>
    </row>
    <row r="50" spans="1:3" x14ac:dyDescent="0.4">
      <c r="A50" t="s">
        <v>91</v>
      </c>
      <c r="B50">
        <v>1.1100000000000001E-3</v>
      </c>
      <c r="C50">
        <v>2.0100000000000001E-3</v>
      </c>
    </row>
    <row r="51" spans="1:3" x14ac:dyDescent="0.4">
      <c r="A51" t="s">
        <v>92</v>
      </c>
      <c r="B51">
        <v>1.1800000000000001E-3</v>
      </c>
      <c r="C51">
        <v>2.2300000000000002E-3</v>
      </c>
    </row>
    <row r="52" spans="1:3" x14ac:dyDescent="0.4">
      <c r="A52" t="s">
        <v>93</v>
      </c>
      <c r="B52">
        <v>1.23E-3</v>
      </c>
      <c r="C52">
        <v>2.5000000000000001E-3</v>
      </c>
    </row>
    <row r="53" spans="1:3" x14ac:dyDescent="0.4">
      <c r="A53" t="s">
        <v>94</v>
      </c>
      <c r="B53">
        <v>1.2600000000000001E-3</v>
      </c>
      <c r="C53">
        <v>2.7599999999999999E-3</v>
      </c>
    </row>
    <row r="54" spans="1:3" x14ac:dyDescent="0.4">
      <c r="A54" t="s">
        <v>95</v>
      </c>
      <c r="B54">
        <v>1.33E-3</v>
      </c>
      <c r="C54">
        <v>3.0100000000000001E-3</v>
      </c>
    </row>
    <row r="55" spans="1:3" x14ac:dyDescent="0.4">
      <c r="A55" t="s">
        <v>96</v>
      </c>
      <c r="B55">
        <v>1.4300000000000001E-3</v>
      </c>
      <c r="C55">
        <v>3.2799999999999999E-3</v>
      </c>
    </row>
    <row r="56" spans="1:3" x14ac:dyDescent="0.4">
      <c r="A56" t="s">
        <v>97</v>
      </c>
      <c r="B56">
        <v>1.58E-3</v>
      </c>
      <c r="C56">
        <v>3.5699999999999998E-3</v>
      </c>
    </row>
    <row r="57" spans="1:3" x14ac:dyDescent="0.4">
      <c r="A57" t="s">
        <v>98</v>
      </c>
      <c r="B57">
        <v>1.72E-3</v>
      </c>
      <c r="C57">
        <v>3.9100000000000003E-3</v>
      </c>
    </row>
    <row r="58" spans="1:3" x14ac:dyDescent="0.4">
      <c r="A58" t="s">
        <v>99</v>
      </c>
      <c r="B58">
        <v>1.83E-3</v>
      </c>
      <c r="C58">
        <v>4.3E-3</v>
      </c>
    </row>
    <row r="59" spans="1:3" x14ac:dyDescent="0.4">
      <c r="A59" t="s">
        <v>100</v>
      </c>
      <c r="B59">
        <v>1.91E-3</v>
      </c>
      <c r="C59">
        <v>4.7200000000000002E-3</v>
      </c>
    </row>
    <row r="60" spans="1:3" x14ac:dyDescent="0.4">
      <c r="A60" t="s">
        <v>101</v>
      </c>
      <c r="B60">
        <v>1.97E-3</v>
      </c>
      <c r="C60">
        <v>5.1399999999999996E-3</v>
      </c>
    </row>
    <row r="61" spans="1:3" x14ac:dyDescent="0.4">
      <c r="A61" t="s">
        <v>102</v>
      </c>
      <c r="B61">
        <v>2.0500000000000002E-3</v>
      </c>
      <c r="C61">
        <v>5.5300000000000002E-3</v>
      </c>
    </row>
    <row r="62" spans="1:3" x14ac:dyDescent="0.4">
      <c r="A62" t="s">
        <v>103</v>
      </c>
      <c r="B62">
        <v>2.1700000000000001E-3</v>
      </c>
      <c r="C62">
        <v>5.9100000000000003E-3</v>
      </c>
    </row>
    <row r="63" spans="1:3" x14ac:dyDescent="0.4">
      <c r="A63" t="s">
        <v>104</v>
      </c>
      <c r="B63">
        <v>2.33E-3</v>
      </c>
      <c r="C63">
        <v>6.3699999999999998E-3</v>
      </c>
    </row>
    <row r="64" spans="1:3" x14ac:dyDescent="0.4">
      <c r="A64" t="s">
        <v>105</v>
      </c>
      <c r="B64">
        <v>2.5500000000000002E-3</v>
      </c>
      <c r="C64">
        <v>6.94E-3</v>
      </c>
    </row>
    <row r="65" spans="1:3" x14ac:dyDescent="0.4">
      <c r="A65" t="s">
        <v>106</v>
      </c>
      <c r="B65">
        <v>2.8E-3</v>
      </c>
      <c r="C65">
        <v>7.5799999999999999E-3</v>
      </c>
    </row>
    <row r="66" spans="1:3" x14ac:dyDescent="0.4">
      <c r="A66" t="s">
        <v>107</v>
      </c>
      <c r="B66">
        <v>3.0400000000000002E-3</v>
      </c>
      <c r="C66">
        <v>8.2299999999999995E-3</v>
      </c>
    </row>
    <row r="67" spans="1:3" x14ac:dyDescent="0.4">
      <c r="A67" t="s">
        <v>108</v>
      </c>
      <c r="B67">
        <v>3.2399999999999998E-3</v>
      </c>
      <c r="C67">
        <v>8.8999999999999999E-3</v>
      </c>
    </row>
    <row r="68" spans="1:3" x14ac:dyDescent="0.4">
      <c r="A68" t="s">
        <v>109</v>
      </c>
      <c r="B68">
        <v>3.48E-3</v>
      </c>
      <c r="C68">
        <v>9.6600000000000002E-3</v>
      </c>
    </row>
    <row r="69" spans="1:3" x14ac:dyDescent="0.4">
      <c r="A69" t="s">
        <v>110</v>
      </c>
      <c r="B69">
        <v>3.82E-3</v>
      </c>
      <c r="C69">
        <v>1.057E-2</v>
      </c>
    </row>
    <row r="70" spans="1:3" x14ac:dyDescent="0.4">
      <c r="A70" t="s">
        <v>111</v>
      </c>
      <c r="B70">
        <v>4.2399999999999998E-3</v>
      </c>
      <c r="C70">
        <v>1.1610000000000001E-2</v>
      </c>
    </row>
    <row r="71" spans="1:3" x14ac:dyDescent="0.4">
      <c r="A71" t="s">
        <v>112</v>
      </c>
      <c r="B71">
        <v>4.7800000000000004E-3</v>
      </c>
      <c r="C71">
        <v>1.278E-2</v>
      </c>
    </row>
    <row r="72" spans="1:3" x14ac:dyDescent="0.4">
      <c r="A72" t="s">
        <v>113</v>
      </c>
      <c r="B72">
        <v>5.4400000000000004E-3</v>
      </c>
      <c r="C72">
        <v>1.413E-2</v>
      </c>
    </row>
    <row r="73" spans="1:3" x14ac:dyDescent="0.4">
      <c r="A73" t="s">
        <v>114</v>
      </c>
      <c r="B73">
        <v>6.1900000000000002E-3</v>
      </c>
      <c r="C73">
        <v>1.5720000000000001E-2</v>
      </c>
    </row>
    <row r="74" spans="1:3" x14ac:dyDescent="0.4">
      <c r="A74" t="s">
        <v>115</v>
      </c>
      <c r="B74">
        <v>7.0899999999999999E-3</v>
      </c>
      <c r="C74">
        <v>1.7590000000000001E-2</v>
      </c>
    </row>
    <row r="75" spans="1:3" x14ac:dyDescent="0.4">
      <c r="A75" t="s">
        <v>116</v>
      </c>
      <c r="B75">
        <v>8.0800000000000004E-3</v>
      </c>
      <c r="C75">
        <v>1.9599999999999999E-2</v>
      </c>
    </row>
    <row r="76" spans="1:3" x14ac:dyDescent="0.4">
      <c r="A76" t="s">
        <v>117</v>
      </c>
      <c r="B76">
        <v>9.2099999999999994E-3</v>
      </c>
      <c r="C76">
        <v>2.1940000000000001E-2</v>
      </c>
    </row>
    <row r="77" spans="1:3" x14ac:dyDescent="0.4">
      <c r="A77" t="s">
        <v>118</v>
      </c>
      <c r="B77">
        <v>1.035E-2</v>
      </c>
      <c r="C77">
        <v>2.426E-2</v>
      </c>
    </row>
    <row r="78" spans="1:3" x14ac:dyDescent="0.4">
      <c r="A78" t="s">
        <v>119</v>
      </c>
      <c r="B78">
        <v>1.175E-2</v>
      </c>
      <c r="C78">
        <v>2.6790000000000001E-2</v>
      </c>
    </row>
    <row r="79" spans="1:3" x14ac:dyDescent="0.4">
      <c r="A79" t="s">
        <v>120</v>
      </c>
      <c r="B79">
        <v>1.358E-2</v>
      </c>
      <c r="C79">
        <v>2.9700000000000001E-2</v>
      </c>
    </row>
    <row r="80" spans="1:3" x14ac:dyDescent="0.4">
      <c r="A80" t="s">
        <v>121</v>
      </c>
      <c r="B80">
        <v>1.602E-2</v>
      </c>
      <c r="C80">
        <v>3.3430000000000001E-2</v>
      </c>
    </row>
    <row r="81" spans="1:3" x14ac:dyDescent="0.4">
      <c r="A81" t="s">
        <v>122</v>
      </c>
      <c r="B81">
        <v>1.9210000000000001E-2</v>
      </c>
      <c r="C81">
        <v>3.8449999999999998E-2</v>
      </c>
    </row>
    <row r="82" spans="1:3" x14ac:dyDescent="0.4">
      <c r="A82" t="s">
        <v>123</v>
      </c>
      <c r="B82">
        <v>2.3029999999999998E-2</v>
      </c>
      <c r="C82">
        <v>4.4690000000000001E-2</v>
      </c>
    </row>
    <row r="83" spans="1:3" x14ac:dyDescent="0.4">
      <c r="A83" t="s">
        <v>124</v>
      </c>
      <c r="B83">
        <v>2.741E-2</v>
      </c>
      <c r="C83">
        <v>5.21E-2</v>
      </c>
    </row>
    <row r="84" spans="1:3" x14ac:dyDescent="0.4">
      <c r="A84" t="s">
        <v>125</v>
      </c>
      <c r="B84">
        <v>3.2309999999999998E-2</v>
      </c>
      <c r="C84">
        <v>6.0359999999999997E-2</v>
      </c>
    </row>
    <row r="85" spans="1:3" x14ac:dyDescent="0.4">
      <c r="A85" t="s">
        <v>126</v>
      </c>
      <c r="B85">
        <v>3.7870000000000001E-2</v>
      </c>
      <c r="C85">
        <v>6.923E-2</v>
      </c>
    </row>
    <row r="86" spans="1:3" x14ac:dyDescent="0.4">
      <c r="A86" t="s">
        <v>127</v>
      </c>
      <c r="B86">
        <v>4.4380000000000003E-2</v>
      </c>
      <c r="C86">
        <v>7.8670000000000004E-2</v>
      </c>
    </row>
    <row r="87" spans="1:3" x14ac:dyDescent="0.4">
      <c r="A87" t="s">
        <v>128</v>
      </c>
      <c r="B87">
        <v>5.1569999999999998E-2</v>
      </c>
      <c r="C87">
        <v>8.8249999999999995E-2</v>
      </c>
    </row>
    <row r="88" spans="1:3" x14ac:dyDescent="0.4">
      <c r="A88" t="s">
        <v>129</v>
      </c>
      <c r="B88">
        <v>5.9909999999999998E-2</v>
      </c>
      <c r="C88">
        <v>9.9709999999999993E-2</v>
      </c>
    </row>
    <row r="89" spans="1:3" x14ac:dyDescent="0.4">
      <c r="A89" t="s">
        <v>130</v>
      </c>
      <c r="B89">
        <v>6.9279999999999994E-2</v>
      </c>
      <c r="C89">
        <v>0.11224000000000001</v>
      </c>
    </row>
    <row r="90" spans="1:3" x14ac:dyDescent="0.4">
      <c r="A90" t="s">
        <v>131</v>
      </c>
      <c r="B90">
        <v>7.9710000000000003E-2</v>
      </c>
      <c r="C90">
        <v>0.12586</v>
      </c>
    </row>
    <row r="91" spans="1:3" x14ac:dyDescent="0.4">
      <c r="A91" t="s">
        <v>132</v>
      </c>
      <c r="B91">
        <v>9.128E-2</v>
      </c>
      <c r="C91">
        <v>0.1406</v>
      </c>
    </row>
    <row r="92" spans="1:3" x14ac:dyDescent="0.4">
      <c r="A92" t="s">
        <v>133</v>
      </c>
      <c r="B92">
        <v>0.10401000000000001</v>
      </c>
      <c r="C92">
        <v>0.15648999999999999</v>
      </c>
    </row>
    <row r="93" spans="1:3" x14ac:dyDescent="0.4">
      <c r="A93" t="s">
        <v>134</v>
      </c>
      <c r="B93">
        <v>0.11794</v>
      </c>
      <c r="C93">
        <v>0.17351</v>
      </c>
    </row>
    <row r="94" spans="1:3" x14ac:dyDescent="0.4">
      <c r="A94" t="s">
        <v>135</v>
      </c>
      <c r="B94">
        <v>0.1331</v>
      </c>
      <c r="C94">
        <v>0.19166</v>
      </c>
    </row>
    <row r="95" spans="1:3" x14ac:dyDescent="0.4">
      <c r="A95" t="s">
        <v>136</v>
      </c>
      <c r="B95">
        <v>0.14946000000000001</v>
      </c>
      <c r="C95">
        <v>0.21090999999999999</v>
      </c>
    </row>
    <row r="96" spans="1:3" x14ac:dyDescent="0.4">
      <c r="A96" t="s">
        <v>137</v>
      </c>
      <c r="B96">
        <v>0.16703000000000001</v>
      </c>
      <c r="C96">
        <v>0.23122999999999999</v>
      </c>
    </row>
    <row r="97" spans="1:3" x14ac:dyDescent="0.4">
      <c r="A97" t="s">
        <v>138</v>
      </c>
      <c r="B97">
        <v>0.18576000000000001</v>
      </c>
      <c r="C97">
        <v>0.25255</v>
      </c>
    </row>
    <row r="98" spans="1:3" x14ac:dyDescent="0.4">
      <c r="A98" t="s">
        <v>139</v>
      </c>
      <c r="B98">
        <v>0.20558999999999999</v>
      </c>
      <c r="C98">
        <v>0.27479999999999999</v>
      </c>
    </row>
    <row r="99" spans="1:3" x14ac:dyDescent="0.4">
      <c r="A99" t="s">
        <v>140</v>
      </c>
      <c r="B99">
        <v>0.22642000000000001</v>
      </c>
      <c r="C99">
        <v>0.29788999999999999</v>
      </c>
    </row>
    <row r="100" spans="1:3" x14ac:dyDescent="0.4">
      <c r="A100" t="s">
        <v>141</v>
      </c>
      <c r="B100">
        <v>0.24815999999999999</v>
      </c>
      <c r="C100">
        <v>0.32171</v>
      </c>
    </row>
    <row r="101" spans="1:3" x14ac:dyDescent="0.4">
      <c r="A101" t="s">
        <v>142</v>
      </c>
      <c r="B101">
        <v>0.27066000000000001</v>
      </c>
      <c r="C101">
        <v>0.34611999999999998</v>
      </c>
    </row>
    <row r="102" spans="1:3" x14ac:dyDescent="0.4">
      <c r="A102" t="s">
        <v>143</v>
      </c>
      <c r="B102">
        <v>0.29377999999999999</v>
      </c>
      <c r="C102">
        <v>0.37098999999999999</v>
      </c>
    </row>
    <row r="103" spans="1:3" x14ac:dyDescent="0.4">
      <c r="A103" t="s">
        <v>144</v>
      </c>
      <c r="B103">
        <v>1</v>
      </c>
      <c r="C103">
        <v>1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E1F32-FF26-440A-AEE9-C53D62E90B07}">
  <sheetPr codeName="Sheet3"/>
  <dimension ref="A1:A4"/>
  <sheetViews>
    <sheetView workbookViewId="0">
      <selection activeCell="O8" sqref="O8"/>
    </sheetView>
  </sheetViews>
  <sheetFormatPr defaultRowHeight="17.399999999999999" x14ac:dyDescent="0.4"/>
  <sheetData>
    <row r="1" spans="1:1" x14ac:dyDescent="0.4">
      <c r="A1" t="s">
        <v>2</v>
      </c>
    </row>
    <row r="2" spans="1:1" x14ac:dyDescent="0.4">
      <c r="A2" t="s">
        <v>3</v>
      </c>
    </row>
    <row r="3" spans="1:1" x14ac:dyDescent="0.4">
      <c r="A3" t="s">
        <v>4</v>
      </c>
    </row>
    <row r="4" spans="1:1" x14ac:dyDescent="0.4">
      <c r="A4" t="s">
        <v>5</v>
      </c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522A-C2AA-4103-8B9E-08BEE4C102B7}">
  <sheetPr codeName="Sheet4"/>
  <dimension ref="A1:HH15"/>
  <sheetViews>
    <sheetView workbookViewId="0">
      <selection activeCell="G12" sqref="G12"/>
    </sheetView>
  </sheetViews>
  <sheetFormatPr defaultRowHeight="17.399999999999999" x14ac:dyDescent="0.4"/>
  <cols>
    <col min="1" max="1" width="17.59765625" bestFit="1" customWidth="1"/>
    <col min="5" max="5" width="7.796875" bestFit="1" customWidth="1"/>
  </cols>
  <sheetData>
    <row r="1" spans="1:216" x14ac:dyDescent="0.4">
      <c r="A1" s="45" t="s">
        <v>155</v>
      </c>
      <c r="B1" s="46" t="s">
        <v>170</v>
      </c>
      <c r="C1" s="46" t="s">
        <v>171</v>
      </c>
      <c r="D1" s="46" t="s">
        <v>172</v>
      </c>
      <c r="E1" s="46" t="s">
        <v>173</v>
      </c>
      <c r="F1" s="46" t="s">
        <v>174</v>
      </c>
      <c r="G1" s="46" t="s">
        <v>175</v>
      </c>
      <c r="H1" s="46" t="s">
        <v>176</v>
      </c>
      <c r="I1" s="49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  <c r="AJ1" s="48"/>
      <c r="AK1" s="48"/>
      <c r="AL1" s="48"/>
      <c r="AM1" s="48"/>
      <c r="AN1" s="48"/>
      <c r="AO1" s="48"/>
      <c r="AP1" s="48"/>
      <c r="AQ1" s="48"/>
      <c r="AR1" s="48"/>
      <c r="AS1" s="48"/>
      <c r="AT1" s="48"/>
      <c r="AU1" s="48"/>
      <c r="AV1" s="48"/>
      <c r="AW1" s="48"/>
      <c r="AX1" s="48"/>
      <c r="AY1" s="48"/>
      <c r="AZ1" s="48"/>
      <c r="BA1" s="48"/>
      <c r="BB1" s="48"/>
      <c r="BC1" s="48"/>
      <c r="BD1" s="48"/>
      <c r="BE1" s="48"/>
      <c r="BF1" s="48"/>
      <c r="BG1" s="48"/>
      <c r="BH1" s="48"/>
      <c r="BI1" s="48"/>
      <c r="BJ1" s="48"/>
      <c r="BK1" s="48"/>
      <c r="BL1" s="48"/>
      <c r="BM1" s="48"/>
      <c r="BN1" s="48"/>
      <c r="BO1" s="48"/>
      <c r="BP1" s="48"/>
      <c r="BQ1" s="48"/>
      <c r="BR1" s="48"/>
      <c r="BS1" s="48"/>
      <c r="BT1" s="48"/>
      <c r="BU1" s="48"/>
      <c r="BV1" s="48"/>
      <c r="BW1" s="48"/>
      <c r="BX1" s="48"/>
      <c r="BY1" s="48"/>
      <c r="BZ1" s="48"/>
      <c r="CA1" s="48"/>
      <c r="CB1" s="48"/>
      <c r="CC1" s="48"/>
      <c r="CD1" s="48"/>
      <c r="CE1" s="48"/>
      <c r="CF1" s="48"/>
      <c r="CG1" s="48"/>
      <c r="CH1" s="48"/>
      <c r="CI1" s="48"/>
      <c r="CJ1" s="48"/>
      <c r="CK1" s="48"/>
      <c r="CL1" s="48"/>
      <c r="CM1" s="48"/>
      <c r="CN1" s="48"/>
      <c r="CO1" s="48"/>
      <c r="CP1" s="48"/>
      <c r="CQ1" s="48"/>
      <c r="CR1" s="48"/>
      <c r="CS1" s="48"/>
      <c r="CT1" s="48"/>
      <c r="CU1" s="48"/>
      <c r="CV1" s="48"/>
      <c r="CW1" s="48"/>
      <c r="CX1" s="48"/>
      <c r="CY1" s="48"/>
      <c r="CZ1" s="48"/>
      <c r="DA1" s="48"/>
      <c r="DB1" s="48"/>
      <c r="DC1" s="48"/>
      <c r="DD1" s="48"/>
      <c r="DE1" s="48"/>
      <c r="DF1" s="48"/>
      <c r="DG1" s="48"/>
      <c r="DH1" s="48"/>
      <c r="DI1" s="48"/>
      <c r="DJ1" s="48"/>
      <c r="DK1" s="48"/>
      <c r="DL1" s="48"/>
      <c r="DM1" s="48"/>
      <c r="DN1" s="48"/>
      <c r="DO1" s="48"/>
      <c r="DP1" s="48"/>
      <c r="DQ1" s="48"/>
      <c r="DR1" s="48"/>
      <c r="DS1" s="48"/>
      <c r="DT1" s="48"/>
      <c r="DU1" s="48"/>
      <c r="DV1" s="48"/>
      <c r="DW1" s="48"/>
      <c r="DX1" s="48"/>
      <c r="DY1" s="48"/>
      <c r="DZ1" s="48"/>
      <c r="EA1" s="48"/>
      <c r="EB1" s="48"/>
      <c r="EC1" s="48"/>
      <c r="ED1" s="48"/>
      <c r="EE1" s="48"/>
      <c r="EF1" s="48"/>
      <c r="EG1" s="48"/>
      <c r="EH1" s="48"/>
      <c r="EI1" s="48"/>
      <c r="EJ1" s="48"/>
      <c r="EK1" s="48"/>
      <c r="EL1" s="48"/>
      <c r="EM1" s="48"/>
      <c r="EN1" s="48"/>
      <c r="EO1" s="48"/>
      <c r="EP1" s="48"/>
      <c r="EQ1" s="48"/>
      <c r="ER1" s="48"/>
      <c r="ES1" s="48"/>
      <c r="ET1" s="48"/>
      <c r="EU1" s="48"/>
      <c r="EV1" s="48"/>
      <c r="EW1" s="48"/>
      <c r="EX1" s="48"/>
      <c r="EY1" s="48"/>
      <c r="EZ1" s="48"/>
      <c r="FA1" s="48"/>
      <c r="FB1" s="48"/>
      <c r="FC1" s="48"/>
      <c r="FD1" s="48"/>
      <c r="FE1" s="48"/>
      <c r="FF1" s="48"/>
      <c r="FG1" s="48"/>
      <c r="FH1" s="48"/>
      <c r="FI1" s="48"/>
      <c r="FJ1" s="48"/>
      <c r="FK1" s="48"/>
      <c r="FL1" s="48"/>
      <c r="FM1" s="48"/>
      <c r="FN1" s="48"/>
      <c r="FO1" s="48"/>
      <c r="FP1" s="48"/>
      <c r="FQ1" s="48"/>
      <c r="FR1" s="48"/>
      <c r="FS1" s="48"/>
      <c r="FT1" s="48"/>
      <c r="FU1" s="48"/>
      <c r="FV1" s="48"/>
      <c r="FW1" s="48"/>
      <c r="FX1" s="48"/>
      <c r="FY1" s="48"/>
      <c r="FZ1" s="48"/>
      <c r="GA1" s="48"/>
      <c r="GB1" s="48"/>
      <c r="GC1" s="48"/>
      <c r="GD1" s="48"/>
      <c r="GE1" s="48"/>
      <c r="GF1" s="48"/>
      <c r="GG1" s="48"/>
      <c r="GH1" s="48"/>
      <c r="GI1" s="48"/>
      <c r="GJ1" s="48"/>
      <c r="GK1" s="48"/>
      <c r="GL1" s="48"/>
      <c r="GM1" s="48"/>
      <c r="GN1" s="48"/>
      <c r="GO1" s="48"/>
      <c r="GP1" s="48"/>
      <c r="GQ1" s="48"/>
      <c r="GR1" s="48"/>
      <c r="GS1" s="48"/>
      <c r="GT1" s="48"/>
      <c r="GU1" s="48"/>
      <c r="GV1" s="48"/>
      <c r="GW1" s="48"/>
      <c r="GX1" s="48"/>
      <c r="GY1" s="48"/>
      <c r="GZ1" s="48"/>
      <c r="HA1" s="48"/>
      <c r="HB1" s="48"/>
      <c r="HC1" s="48"/>
      <c r="HD1" s="48"/>
      <c r="HE1" s="48"/>
      <c r="HF1" s="48"/>
      <c r="HG1" s="48"/>
      <c r="HH1" s="48"/>
    </row>
    <row r="2" spans="1:216" x14ac:dyDescent="0.4">
      <c r="A2" s="45" t="s">
        <v>156</v>
      </c>
      <c r="B2" s="47"/>
      <c r="C2" s="47"/>
      <c r="D2" s="47"/>
      <c r="E2" s="47"/>
      <c r="F2" s="47"/>
      <c r="G2" s="47"/>
      <c r="H2" s="47"/>
      <c r="I2" s="50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 t="s">
        <v>177</v>
      </c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  <c r="AY2" s="44"/>
      <c r="AZ2" s="44"/>
      <c r="BA2" s="44"/>
      <c r="BB2" s="44"/>
      <c r="BC2" s="44"/>
      <c r="BD2" s="44"/>
      <c r="BE2" s="44"/>
      <c r="BF2" s="44"/>
      <c r="BG2" s="44"/>
      <c r="BH2" s="44"/>
      <c r="BI2" s="44"/>
      <c r="BJ2" s="44"/>
      <c r="BK2" s="44"/>
      <c r="BL2" s="44"/>
      <c r="BM2" s="44"/>
      <c r="BN2" s="44"/>
      <c r="BO2" s="44"/>
      <c r="BP2" s="44"/>
      <c r="BQ2" s="44"/>
      <c r="BR2" s="44"/>
      <c r="BS2" s="44"/>
      <c r="BT2" s="44"/>
      <c r="BU2" s="44"/>
      <c r="BV2" s="44"/>
      <c r="BW2" s="44"/>
      <c r="BX2" s="44"/>
      <c r="BY2" s="44"/>
      <c r="BZ2" s="44"/>
      <c r="CA2" s="44"/>
      <c r="CB2" s="44"/>
      <c r="CC2" s="44"/>
      <c r="CD2" s="44"/>
      <c r="CE2" s="44"/>
      <c r="CF2" s="44"/>
      <c r="CG2" s="44"/>
      <c r="CH2" s="44"/>
      <c r="CI2" s="44"/>
      <c r="CJ2" s="44"/>
      <c r="CK2" s="44"/>
      <c r="CL2" s="44"/>
      <c r="CM2" s="44"/>
      <c r="CN2" s="44"/>
      <c r="CO2" s="44"/>
      <c r="CP2" s="44"/>
      <c r="CQ2" s="44"/>
      <c r="CR2" s="44"/>
      <c r="CS2" s="44"/>
      <c r="CT2" s="44"/>
      <c r="CU2" s="44"/>
      <c r="CV2" s="44"/>
      <c r="CW2" s="44"/>
      <c r="CX2" s="44"/>
      <c r="CY2" s="44"/>
      <c r="CZ2" s="44"/>
      <c r="DA2" s="44"/>
      <c r="DB2" s="44"/>
      <c r="DC2" s="44"/>
      <c r="DD2" s="44"/>
      <c r="DE2" s="44"/>
      <c r="DF2" s="44"/>
      <c r="DG2" s="44"/>
      <c r="DH2" s="44"/>
      <c r="DI2" s="44"/>
      <c r="DJ2" s="44"/>
      <c r="DK2" s="44"/>
      <c r="DL2" s="44"/>
      <c r="DM2" s="44"/>
      <c r="DN2" s="44"/>
      <c r="DO2" s="44"/>
      <c r="DP2" s="44"/>
      <c r="DQ2" s="44"/>
      <c r="DR2" s="44"/>
      <c r="DS2" s="44"/>
      <c r="DT2" s="44"/>
      <c r="DU2" s="44"/>
      <c r="DV2" s="44"/>
      <c r="DW2" s="44"/>
      <c r="DX2" s="44"/>
      <c r="DY2" s="44"/>
      <c r="DZ2" s="44"/>
      <c r="EA2" s="44"/>
      <c r="EB2" s="44"/>
      <c r="EC2" s="44"/>
      <c r="ED2" s="44"/>
      <c r="EE2" s="44"/>
      <c r="EF2" s="44"/>
      <c r="EG2" s="44"/>
      <c r="EH2" s="44"/>
      <c r="EI2" s="44"/>
      <c r="EJ2" s="44"/>
      <c r="EK2" s="44"/>
      <c r="EL2" s="44"/>
      <c r="EM2" s="44"/>
      <c r="EN2" s="44"/>
      <c r="EO2" s="44"/>
      <c r="EP2" s="44"/>
      <c r="EQ2" s="44"/>
      <c r="ER2" s="44"/>
      <c r="ES2" s="44"/>
      <c r="ET2" s="44"/>
      <c r="EU2" s="44"/>
      <c r="EV2" s="44"/>
      <c r="EW2" s="44"/>
      <c r="EX2" s="44"/>
      <c r="EY2" s="44"/>
      <c r="EZ2" s="44"/>
      <c r="FA2" s="44"/>
      <c r="FB2" s="44"/>
      <c r="FC2" s="44"/>
      <c r="FD2" s="44"/>
      <c r="FE2" s="44"/>
      <c r="FF2" s="44"/>
      <c r="FG2" s="44"/>
      <c r="FH2" s="44"/>
      <c r="FI2" s="44"/>
      <c r="FJ2" s="44"/>
      <c r="FK2" s="44"/>
      <c r="FL2" s="44"/>
      <c r="FM2" s="44"/>
      <c r="FN2" s="44"/>
      <c r="FO2" s="44"/>
      <c r="FP2" s="44"/>
      <c r="FQ2" s="44"/>
      <c r="FR2" s="44"/>
      <c r="FS2" s="44"/>
      <c r="FT2" s="44"/>
      <c r="FU2" s="44"/>
      <c r="FV2" s="44"/>
      <c r="FW2" s="44"/>
      <c r="FX2" s="44"/>
      <c r="FY2" s="44"/>
      <c r="FZ2" s="44"/>
      <c r="GA2" s="44"/>
      <c r="GB2" s="44"/>
      <c r="GC2" s="44"/>
      <c r="GD2" s="44"/>
      <c r="GE2" s="44"/>
      <c r="GF2" s="44"/>
      <c r="GG2" s="44"/>
      <c r="GH2" s="44"/>
      <c r="GI2" s="44"/>
      <c r="GJ2" s="44"/>
      <c r="GK2" s="44"/>
      <c r="GL2" s="44"/>
      <c r="GM2" s="44"/>
      <c r="GN2" s="44"/>
      <c r="GO2" s="44"/>
      <c r="GP2" s="44"/>
      <c r="GQ2" s="44"/>
      <c r="GR2" s="44"/>
      <c r="GS2" s="44"/>
      <c r="GT2" s="44"/>
      <c r="GU2" s="44"/>
      <c r="GV2" s="44"/>
      <c r="GW2" s="44"/>
      <c r="GX2" s="44"/>
      <c r="GY2" s="44"/>
      <c r="GZ2" s="44"/>
      <c r="HA2" s="44"/>
      <c r="HB2" s="44"/>
      <c r="HC2" s="44"/>
      <c r="HD2" s="44"/>
      <c r="HE2" s="44"/>
      <c r="HF2" s="44"/>
      <c r="HG2" s="44"/>
      <c r="HH2" s="44"/>
    </row>
    <row r="3" spans="1:216" x14ac:dyDescent="0.4">
      <c r="A3" s="45" t="s">
        <v>157</v>
      </c>
      <c r="B3" s="47"/>
      <c r="C3" s="47"/>
      <c r="D3" s="47"/>
      <c r="E3" s="47"/>
      <c r="F3" s="47"/>
      <c r="G3" s="47"/>
      <c r="H3" s="47"/>
      <c r="I3" s="50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44"/>
      <c r="BC3" s="44"/>
      <c r="BD3" s="44"/>
      <c r="BE3" s="44"/>
      <c r="BF3" s="44"/>
      <c r="BG3" s="44"/>
      <c r="BH3" s="44"/>
      <c r="BI3" s="44"/>
      <c r="BJ3" s="44"/>
      <c r="BK3" s="44"/>
      <c r="BL3" s="44"/>
      <c r="BM3" s="44"/>
      <c r="BN3" s="44"/>
      <c r="BO3" s="44"/>
      <c r="BP3" s="44"/>
      <c r="BQ3" s="44"/>
      <c r="BR3" s="44"/>
      <c r="BS3" s="44"/>
      <c r="BT3" s="44"/>
      <c r="BU3" s="44"/>
      <c r="BV3" s="44"/>
      <c r="BW3" s="44"/>
      <c r="BX3" s="44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4"/>
      <c r="CL3" s="44"/>
      <c r="CM3" s="44"/>
      <c r="CN3" s="44"/>
      <c r="CO3" s="44"/>
      <c r="CP3" s="44"/>
      <c r="CQ3" s="44"/>
      <c r="CR3" s="44"/>
      <c r="CS3" s="44"/>
      <c r="CT3" s="44"/>
      <c r="CU3" s="44"/>
      <c r="CV3" s="44"/>
      <c r="CW3" s="44"/>
      <c r="CX3" s="44"/>
      <c r="CY3" s="44"/>
      <c r="CZ3" s="44"/>
      <c r="DA3" s="44"/>
      <c r="DB3" s="44"/>
      <c r="DC3" s="44"/>
      <c r="DD3" s="44"/>
      <c r="DE3" s="44"/>
      <c r="DF3" s="44"/>
      <c r="DG3" s="44"/>
      <c r="DH3" s="44"/>
      <c r="DI3" s="44"/>
      <c r="DJ3" s="44"/>
      <c r="DK3" s="44"/>
      <c r="DL3" s="44"/>
      <c r="DM3" s="44"/>
      <c r="DN3" s="44"/>
      <c r="DO3" s="44"/>
      <c r="DP3" s="44"/>
      <c r="DQ3" s="44"/>
      <c r="DR3" s="44"/>
      <c r="DS3" s="44"/>
      <c r="DT3" s="44"/>
      <c r="DU3" s="44"/>
      <c r="DV3" s="44"/>
      <c r="DW3" s="44"/>
      <c r="DX3" s="44"/>
      <c r="DY3" s="44"/>
      <c r="DZ3" s="44"/>
      <c r="EA3" s="44"/>
      <c r="EB3" s="44"/>
      <c r="EC3" s="44"/>
      <c r="ED3" s="44"/>
      <c r="EE3" s="44"/>
      <c r="EF3" s="44"/>
      <c r="EG3" s="44"/>
      <c r="EH3" s="44"/>
      <c r="EI3" s="44"/>
      <c r="EJ3" s="44"/>
      <c r="EK3" s="44"/>
      <c r="EL3" s="44"/>
      <c r="EM3" s="44"/>
      <c r="EN3" s="44"/>
      <c r="EO3" s="44"/>
      <c r="EP3" s="44"/>
      <c r="EQ3" s="44"/>
      <c r="ER3" s="44"/>
      <c r="ES3" s="44"/>
      <c r="ET3" s="44"/>
      <c r="EU3" s="44"/>
      <c r="EV3" s="44"/>
      <c r="EW3" s="44"/>
      <c r="EX3" s="44"/>
      <c r="EY3" s="44"/>
      <c r="EZ3" s="44"/>
      <c r="FA3" s="44"/>
      <c r="FB3" s="44"/>
      <c r="FC3" s="44"/>
      <c r="FD3" s="44"/>
      <c r="FE3" s="44"/>
      <c r="FF3" s="44"/>
      <c r="FG3" s="44"/>
      <c r="FH3" s="44"/>
      <c r="FI3" s="44"/>
      <c r="FJ3" s="44"/>
      <c r="FK3" s="44"/>
      <c r="FL3" s="44"/>
      <c r="FM3" s="44"/>
      <c r="FN3" s="44"/>
      <c r="FO3" s="44"/>
      <c r="FP3" s="44"/>
      <c r="FQ3" s="44"/>
      <c r="FR3" s="44"/>
      <c r="FS3" s="44"/>
      <c r="FT3" s="44"/>
      <c r="FU3" s="44"/>
      <c r="FV3" s="44"/>
      <c r="FW3" s="44"/>
      <c r="FX3" s="44"/>
      <c r="FY3" s="44"/>
      <c r="FZ3" s="44"/>
      <c r="GA3" s="44"/>
      <c r="GB3" s="44"/>
      <c r="GC3" s="44"/>
      <c r="GD3" s="44"/>
      <c r="GE3" s="44"/>
      <c r="GF3" s="44"/>
      <c r="GG3" s="44"/>
      <c r="GH3" s="44"/>
      <c r="GI3" s="44"/>
      <c r="GJ3" s="44"/>
      <c r="GK3" s="44"/>
      <c r="GL3" s="44"/>
      <c r="GM3" s="44"/>
      <c r="GN3" s="44"/>
      <c r="GO3" s="44"/>
      <c r="GP3" s="44"/>
      <c r="GQ3" s="44"/>
      <c r="GR3" s="44"/>
      <c r="GS3" s="44"/>
      <c r="GT3" s="44"/>
      <c r="GU3" s="44"/>
      <c r="GV3" s="44"/>
      <c r="GW3" s="44"/>
      <c r="GX3" s="44"/>
      <c r="GY3" s="44"/>
      <c r="GZ3" s="44"/>
      <c r="HA3" s="44"/>
      <c r="HB3" s="44"/>
      <c r="HC3" s="44"/>
      <c r="HD3" s="44"/>
      <c r="HE3" s="44"/>
      <c r="HF3" s="44"/>
      <c r="HG3" s="44"/>
      <c r="HH3" s="44"/>
    </row>
    <row r="4" spans="1:216" x14ac:dyDescent="0.4">
      <c r="A4" s="45" t="s">
        <v>158</v>
      </c>
      <c r="B4" s="47"/>
      <c r="C4" s="47"/>
      <c r="D4" s="47"/>
      <c r="E4" s="47"/>
      <c r="F4" s="47"/>
      <c r="G4" s="47"/>
      <c r="H4" s="47"/>
      <c r="I4" s="50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4"/>
      <c r="BW4" s="44"/>
      <c r="BX4" s="44"/>
      <c r="BY4" s="44"/>
      <c r="BZ4" s="44"/>
      <c r="CA4" s="44"/>
      <c r="CB4" s="44"/>
      <c r="CC4" s="44"/>
      <c r="CD4" s="44"/>
      <c r="CE4" s="44"/>
      <c r="CF4" s="44"/>
      <c r="CG4" s="44"/>
      <c r="CH4" s="44"/>
      <c r="CI4" s="44"/>
      <c r="CJ4" s="44"/>
      <c r="CK4" s="44"/>
      <c r="CL4" s="44"/>
      <c r="CM4" s="44"/>
      <c r="CN4" s="44"/>
      <c r="CO4" s="44"/>
      <c r="CP4" s="44"/>
      <c r="CQ4" s="44"/>
      <c r="CR4" s="44"/>
      <c r="CS4" s="44"/>
      <c r="CT4" s="44"/>
      <c r="CU4" s="44"/>
      <c r="CV4" s="44"/>
      <c r="CW4" s="44"/>
      <c r="CX4" s="44"/>
      <c r="CY4" s="44"/>
      <c r="CZ4" s="44"/>
      <c r="DA4" s="44"/>
      <c r="DB4" s="44"/>
      <c r="DC4" s="44"/>
      <c r="DD4" s="44"/>
      <c r="DE4" s="44"/>
      <c r="DF4" s="44"/>
      <c r="DG4" s="44"/>
      <c r="DH4" s="44"/>
      <c r="DI4" s="44"/>
      <c r="DJ4" s="44"/>
      <c r="DK4" s="44"/>
      <c r="DL4" s="44"/>
      <c r="DM4" s="44"/>
      <c r="DN4" s="44"/>
      <c r="DO4" s="44"/>
      <c r="DP4" s="44"/>
      <c r="DQ4" s="44"/>
      <c r="DR4" s="44"/>
      <c r="DS4" s="44"/>
      <c r="DT4" s="44"/>
      <c r="DU4" s="44"/>
      <c r="DV4" s="44"/>
      <c r="DW4" s="44"/>
      <c r="DX4" s="44"/>
      <c r="DY4" s="44"/>
      <c r="DZ4" s="44"/>
      <c r="EA4" s="44"/>
      <c r="EB4" s="44"/>
      <c r="EC4" s="44"/>
      <c r="ED4" s="44"/>
      <c r="EE4" s="44"/>
      <c r="EF4" s="44"/>
      <c r="EG4" s="44"/>
      <c r="EH4" s="44"/>
      <c r="EI4" s="44"/>
      <c r="EJ4" s="44"/>
      <c r="EK4" s="44"/>
      <c r="EL4" s="44"/>
      <c r="EM4" s="44"/>
      <c r="EN4" s="44"/>
      <c r="EO4" s="44"/>
      <c r="EP4" s="44"/>
      <c r="EQ4" s="44"/>
      <c r="ER4" s="44"/>
      <c r="ES4" s="44"/>
      <c r="ET4" s="44"/>
      <c r="EU4" s="44"/>
      <c r="EV4" s="44"/>
      <c r="EW4" s="44"/>
      <c r="EX4" s="44"/>
      <c r="EY4" s="44"/>
      <c r="EZ4" s="44"/>
      <c r="FA4" s="44"/>
      <c r="FB4" s="44"/>
      <c r="FC4" s="44"/>
      <c r="FD4" s="44"/>
      <c r="FE4" s="44"/>
      <c r="FF4" s="44"/>
      <c r="FG4" s="44"/>
      <c r="FH4" s="44"/>
      <c r="FI4" s="44"/>
      <c r="FJ4" s="44"/>
      <c r="FK4" s="44"/>
      <c r="FL4" s="44"/>
      <c r="FM4" s="44"/>
      <c r="FN4" s="44"/>
      <c r="FO4" s="44"/>
      <c r="FP4" s="44"/>
      <c r="FQ4" s="44"/>
      <c r="FR4" s="44"/>
      <c r="FS4" s="44"/>
      <c r="FT4" s="44"/>
      <c r="FU4" s="44"/>
      <c r="FV4" s="44"/>
      <c r="FW4" s="44"/>
      <c r="FX4" s="44"/>
      <c r="FY4" s="44"/>
      <c r="FZ4" s="44"/>
      <c r="GA4" s="44"/>
      <c r="GB4" s="44"/>
      <c r="GC4" s="44"/>
      <c r="GD4" s="44"/>
      <c r="GE4" s="44"/>
      <c r="GF4" s="44"/>
      <c r="GG4" s="44"/>
      <c r="GH4" s="44"/>
      <c r="GI4" s="44"/>
      <c r="GJ4" s="44"/>
      <c r="GK4" s="44"/>
      <c r="GL4" s="44"/>
      <c r="GM4" s="44"/>
      <c r="GN4" s="44"/>
      <c r="GO4" s="44"/>
      <c r="GP4" s="44"/>
      <c r="GQ4" s="44"/>
      <c r="GR4" s="44"/>
      <c r="GS4" s="44"/>
      <c r="GT4" s="44"/>
      <c r="GU4" s="44"/>
      <c r="GV4" s="44"/>
      <c r="GW4" s="44"/>
      <c r="GX4" s="44"/>
      <c r="GY4" s="44"/>
      <c r="GZ4" s="44"/>
      <c r="HA4" s="44"/>
      <c r="HB4" s="44"/>
      <c r="HC4" s="44"/>
      <c r="HD4" s="44"/>
      <c r="HE4" s="44"/>
      <c r="HF4" s="44"/>
      <c r="HG4" s="44"/>
      <c r="HH4" s="44"/>
    </row>
    <row r="5" spans="1:216" x14ac:dyDescent="0.4">
      <c r="A5" s="45" t="s">
        <v>159</v>
      </c>
      <c r="B5" s="47"/>
      <c r="C5" s="47"/>
      <c r="D5" s="47"/>
      <c r="E5" s="47"/>
      <c r="F5" s="47"/>
      <c r="G5" s="47"/>
      <c r="H5" s="47"/>
      <c r="I5" s="50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  <c r="AX5" s="44"/>
      <c r="AY5" s="44"/>
      <c r="AZ5" s="44"/>
      <c r="BA5" s="44"/>
      <c r="BB5" s="44"/>
      <c r="BC5" s="44"/>
      <c r="BD5" s="44"/>
      <c r="BE5" s="44"/>
      <c r="BF5" s="44"/>
      <c r="BG5" s="44"/>
      <c r="BH5" s="44"/>
      <c r="BI5" s="44"/>
      <c r="BJ5" s="44"/>
      <c r="BK5" s="44"/>
      <c r="BL5" s="44"/>
      <c r="BM5" s="44"/>
      <c r="BN5" s="44"/>
      <c r="BO5" s="44"/>
      <c r="BP5" s="44"/>
      <c r="BQ5" s="44"/>
      <c r="BR5" s="44"/>
      <c r="BS5" s="44"/>
      <c r="BT5" s="44"/>
      <c r="BU5" s="44"/>
      <c r="BV5" s="44"/>
      <c r="BW5" s="44"/>
      <c r="BX5" s="44"/>
      <c r="BY5" s="44"/>
      <c r="BZ5" s="44"/>
      <c r="CA5" s="44"/>
      <c r="CB5" s="44"/>
      <c r="CC5" s="44"/>
      <c r="CD5" s="44"/>
      <c r="CE5" s="44"/>
      <c r="CF5" s="44"/>
      <c r="CG5" s="44"/>
      <c r="CH5" s="44"/>
      <c r="CI5" s="44"/>
      <c r="CJ5" s="44"/>
      <c r="CK5" s="44"/>
      <c r="CL5" s="44"/>
      <c r="CM5" s="44"/>
      <c r="CN5" s="44"/>
      <c r="CO5" s="44"/>
      <c r="CP5" s="44"/>
      <c r="CQ5" s="44"/>
      <c r="CR5" s="44"/>
      <c r="CS5" s="44"/>
      <c r="CT5" s="44"/>
      <c r="CU5" s="44"/>
      <c r="CV5" s="44"/>
      <c r="CW5" s="44"/>
      <c r="CX5" s="44"/>
      <c r="CY5" s="44"/>
      <c r="CZ5" s="44"/>
      <c r="DA5" s="44"/>
      <c r="DB5" s="44"/>
      <c r="DC5" s="44"/>
      <c r="DD5" s="44"/>
      <c r="DE5" s="44"/>
      <c r="DF5" s="44"/>
      <c r="DG5" s="44"/>
      <c r="DH5" s="44"/>
      <c r="DI5" s="44"/>
      <c r="DJ5" s="44"/>
      <c r="DK5" s="44"/>
      <c r="DL5" s="44"/>
      <c r="DM5" s="44"/>
      <c r="DN5" s="44"/>
      <c r="DO5" s="44"/>
      <c r="DP5" s="44"/>
      <c r="DQ5" s="44"/>
      <c r="DR5" s="44"/>
      <c r="DS5" s="44"/>
      <c r="DT5" s="44"/>
      <c r="DU5" s="44"/>
      <c r="DV5" s="44"/>
      <c r="DW5" s="44"/>
      <c r="DX5" s="44"/>
      <c r="DY5" s="44"/>
      <c r="DZ5" s="44"/>
      <c r="EA5" s="44"/>
      <c r="EB5" s="44"/>
      <c r="EC5" s="44"/>
      <c r="ED5" s="44"/>
      <c r="EE5" s="44"/>
      <c r="EF5" s="44"/>
      <c r="EG5" s="44"/>
      <c r="EH5" s="44"/>
      <c r="EI5" s="44"/>
      <c r="EJ5" s="44"/>
      <c r="EK5" s="44"/>
      <c r="EL5" s="44"/>
      <c r="EM5" s="44"/>
      <c r="EN5" s="44"/>
      <c r="EO5" s="44"/>
      <c r="EP5" s="44"/>
      <c r="EQ5" s="44"/>
      <c r="ER5" s="44"/>
      <c r="ES5" s="44"/>
      <c r="ET5" s="44"/>
      <c r="EU5" s="44"/>
      <c r="EV5" s="44"/>
      <c r="EW5" s="44"/>
      <c r="EX5" s="44"/>
      <c r="EY5" s="44"/>
      <c r="EZ5" s="44"/>
      <c r="FA5" s="44"/>
      <c r="FB5" s="44"/>
      <c r="FC5" s="44"/>
      <c r="FD5" s="44"/>
      <c r="FE5" s="44"/>
      <c r="FF5" s="44"/>
      <c r="FG5" s="44"/>
      <c r="FH5" s="44"/>
      <c r="FI5" s="44"/>
      <c r="FJ5" s="44"/>
      <c r="FK5" s="44"/>
      <c r="FL5" s="44"/>
      <c r="FM5" s="44"/>
      <c r="FN5" s="44"/>
      <c r="FO5" s="44"/>
      <c r="FP5" s="44"/>
      <c r="FQ5" s="44"/>
      <c r="FR5" s="44"/>
      <c r="FS5" s="44"/>
      <c r="FT5" s="44"/>
      <c r="FU5" s="44"/>
      <c r="FV5" s="44"/>
      <c r="FW5" s="44"/>
      <c r="FX5" s="44"/>
      <c r="FY5" s="44"/>
      <c r="FZ5" s="44"/>
      <c r="GA5" s="44"/>
      <c r="GB5" s="44"/>
      <c r="GC5" s="44"/>
      <c r="GD5" s="44"/>
      <c r="GE5" s="44"/>
      <c r="GF5" s="44"/>
      <c r="GG5" s="44"/>
      <c r="GH5" s="44"/>
      <c r="GI5" s="44"/>
      <c r="GJ5" s="44"/>
      <c r="GK5" s="44"/>
      <c r="GL5" s="44"/>
      <c r="GM5" s="44"/>
      <c r="GN5" s="44"/>
      <c r="GO5" s="44"/>
      <c r="GP5" s="44"/>
      <c r="GQ5" s="44"/>
      <c r="GR5" s="44"/>
      <c r="GS5" s="44"/>
      <c r="GT5" s="44"/>
      <c r="GU5" s="44"/>
      <c r="GV5" s="44"/>
      <c r="GW5" s="44"/>
      <c r="GX5" s="44"/>
      <c r="GY5" s="44"/>
      <c r="GZ5" s="44"/>
      <c r="HA5" s="44"/>
      <c r="HB5" s="44"/>
      <c r="HC5" s="44"/>
      <c r="HD5" s="44"/>
      <c r="HE5" s="44"/>
      <c r="HF5" s="44"/>
      <c r="HG5" s="44"/>
      <c r="HH5" s="44"/>
    </row>
    <row r="6" spans="1:216" x14ac:dyDescent="0.4">
      <c r="A6" s="45" t="s">
        <v>160</v>
      </c>
      <c r="B6" s="47"/>
      <c r="C6" s="47"/>
      <c r="D6" s="47"/>
      <c r="E6" s="47"/>
      <c r="F6" s="47"/>
      <c r="G6" s="47"/>
      <c r="H6" s="47"/>
      <c r="I6" s="50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  <c r="AX6" s="44"/>
      <c r="AY6" s="44"/>
      <c r="AZ6" s="44"/>
      <c r="BA6" s="44"/>
      <c r="BB6" s="44"/>
      <c r="BC6" s="44"/>
      <c r="BD6" s="44"/>
      <c r="BE6" s="44"/>
      <c r="BF6" s="44"/>
      <c r="BG6" s="44"/>
      <c r="BH6" s="44"/>
      <c r="BI6" s="44"/>
      <c r="BJ6" s="44"/>
      <c r="BK6" s="44"/>
      <c r="BL6" s="44"/>
      <c r="BM6" s="44"/>
      <c r="BN6" s="44"/>
      <c r="BO6" s="44"/>
      <c r="BP6" s="44"/>
      <c r="BQ6" s="44"/>
      <c r="BR6" s="44"/>
      <c r="BS6" s="44"/>
      <c r="BT6" s="44"/>
      <c r="BU6" s="44"/>
      <c r="BV6" s="44"/>
      <c r="BW6" s="44"/>
      <c r="BX6" s="44"/>
      <c r="BY6" s="44"/>
      <c r="BZ6" s="44"/>
      <c r="CA6" s="44"/>
      <c r="CB6" s="44"/>
      <c r="CC6" s="44"/>
      <c r="CD6" s="44"/>
      <c r="CE6" s="44"/>
      <c r="CF6" s="44"/>
      <c r="CG6" s="44"/>
      <c r="CH6" s="44"/>
      <c r="CI6" s="44"/>
      <c r="CJ6" s="44"/>
      <c r="CK6" s="44"/>
      <c r="CL6" s="44"/>
      <c r="CM6" s="44"/>
      <c r="CN6" s="44"/>
      <c r="CO6" s="44"/>
      <c r="CP6" s="44"/>
      <c r="CQ6" s="44"/>
      <c r="CR6" s="44"/>
      <c r="CS6" s="44"/>
      <c r="CT6" s="44"/>
      <c r="CU6" s="44"/>
      <c r="CV6" s="44"/>
      <c r="CW6" s="44"/>
      <c r="CX6" s="44"/>
      <c r="CY6" s="44"/>
      <c r="CZ6" s="44"/>
      <c r="DA6" s="44"/>
      <c r="DB6" s="44"/>
      <c r="DC6" s="44"/>
      <c r="DD6" s="44"/>
      <c r="DE6" s="44"/>
      <c r="DF6" s="44"/>
      <c r="DG6" s="44"/>
      <c r="DH6" s="44"/>
      <c r="DI6" s="44"/>
      <c r="DJ6" s="44"/>
      <c r="DK6" s="44"/>
      <c r="DL6" s="44"/>
      <c r="DM6" s="44"/>
      <c r="DN6" s="44"/>
      <c r="DO6" s="44"/>
      <c r="DP6" s="44"/>
      <c r="DQ6" s="44"/>
      <c r="DR6" s="44"/>
      <c r="DS6" s="44"/>
      <c r="DT6" s="44"/>
      <c r="DU6" s="44"/>
      <c r="DV6" s="44"/>
      <c r="DW6" s="44"/>
      <c r="DX6" s="44"/>
      <c r="DY6" s="44"/>
      <c r="DZ6" s="44"/>
      <c r="EA6" s="44"/>
      <c r="EB6" s="44"/>
      <c r="EC6" s="44"/>
      <c r="ED6" s="44"/>
      <c r="EE6" s="44"/>
      <c r="EF6" s="44"/>
      <c r="EG6" s="44"/>
      <c r="EH6" s="44"/>
      <c r="EI6" s="44"/>
      <c r="EJ6" s="44"/>
      <c r="EK6" s="44"/>
      <c r="EL6" s="44"/>
      <c r="EM6" s="44"/>
      <c r="EN6" s="44"/>
      <c r="EO6" s="44"/>
      <c r="EP6" s="44"/>
      <c r="EQ6" s="44"/>
      <c r="ER6" s="44"/>
      <c r="ES6" s="44"/>
      <c r="ET6" s="44"/>
      <c r="EU6" s="44"/>
      <c r="EV6" s="44"/>
      <c r="EW6" s="44"/>
      <c r="EX6" s="44"/>
      <c r="EY6" s="44"/>
      <c r="EZ6" s="44"/>
      <c r="FA6" s="44"/>
      <c r="FB6" s="44"/>
      <c r="FC6" s="44"/>
      <c r="FD6" s="44"/>
      <c r="FE6" s="44"/>
      <c r="FF6" s="44"/>
      <c r="FG6" s="44"/>
      <c r="FH6" s="44"/>
      <c r="FI6" s="44"/>
      <c r="FJ6" s="44"/>
      <c r="FK6" s="44"/>
      <c r="FL6" s="44"/>
      <c r="FM6" s="44"/>
      <c r="FN6" s="44"/>
      <c r="FO6" s="44"/>
      <c r="FP6" s="44"/>
      <c r="FQ6" s="44"/>
      <c r="FR6" s="44"/>
      <c r="FS6" s="44"/>
      <c r="FT6" s="44"/>
      <c r="FU6" s="44"/>
      <c r="FV6" s="44"/>
      <c r="FW6" s="44"/>
      <c r="FX6" s="44"/>
      <c r="FY6" s="44"/>
      <c r="FZ6" s="44"/>
      <c r="GA6" s="44"/>
      <c r="GB6" s="44"/>
      <c r="GC6" s="44"/>
      <c r="GD6" s="44"/>
      <c r="GE6" s="44"/>
      <c r="GF6" s="44"/>
      <c r="GG6" s="44"/>
      <c r="GH6" s="44"/>
      <c r="GI6" s="44"/>
      <c r="GJ6" s="44"/>
      <c r="GK6" s="44"/>
      <c r="GL6" s="44"/>
      <c r="GM6" s="44"/>
      <c r="GN6" s="44"/>
      <c r="GO6" s="44"/>
      <c r="GP6" s="44"/>
      <c r="GQ6" s="44"/>
      <c r="GR6" s="44"/>
      <c r="GS6" s="44"/>
      <c r="GT6" s="44"/>
      <c r="GU6" s="44"/>
      <c r="GV6" s="44"/>
      <c r="GW6" s="44"/>
      <c r="GX6" s="44"/>
      <c r="GY6" s="44"/>
      <c r="GZ6" s="44"/>
      <c r="HA6" s="44"/>
      <c r="HB6" s="44"/>
      <c r="HC6" s="44"/>
      <c r="HD6" s="44"/>
      <c r="HE6" s="44"/>
      <c r="HF6" s="44"/>
      <c r="HG6" s="44"/>
      <c r="HH6" s="44"/>
    </row>
    <row r="7" spans="1:216" x14ac:dyDescent="0.4">
      <c r="A7" s="45" t="s">
        <v>161</v>
      </c>
      <c r="B7" s="47"/>
      <c r="C7" s="47"/>
      <c r="D7" s="47"/>
      <c r="E7" s="47"/>
      <c r="F7" s="47"/>
      <c r="G7" s="47"/>
      <c r="H7" s="47"/>
      <c r="I7" s="50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  <c r="AX7" s="44"/>
      <c r="AY7" s="44"/>
      <c r="AZ7" s="44"/>
      <c r="BA7" s="44"/>
      <c r="BB7" s="44"/>
      <c r="BC7" s="44"/>
      <c r="BD7" s="44"/>
      <c r="BE7" s="44"/>
      <c r="BF7" s="44"/>
      <c r="BG7" s="44"/>
      <c r="BH7" s="44"/>
      <c r="BI7" s="44"/>
      <c r="BJ7" s="44"/>
      <c r="BK7" s="44"/>
      <c r="BL7" s="44"/>
      <c r="BM7" s="44"/>
      <c r="BN7" s="44"/>
      <c r="BO7" s="44"/>
      <c r="BP7" s="44"/>
      <c r="BQ7" s="44"/>
      <c r="BR7" s="44"/>
      <c r="BS7" s="44"/>
      <c r="BT7" s="44"/>
      <c r="BU7" s="44"/>
      <c r="BV7" s="44"/>
      <c r="BW7" s="44"/>
      <c r="BX7" s="44"/>
      <c r="BY7" s="44"/>
      <c r="BZ7" s="44"/>
      <c r="CA7" s="44"/>
      <c r="CB7" s="44"/>
      <c r="CC7" s="44"/>
      <c r="CD7" s="44"/>
      <c r="CE7" s="44"/>
      <c r="CF7" s="44"/>
      <c r="CG7" s="44"/>
      <c r="CH7" s="44"/>
      <c r="CI7" s="44"/>
      <c r="CJ7" s="44"/>
      <c r="CK7" s="44"/>
      <c r="CL7" s="44"/>
      <c r="CM7" s="44"/>
      <c r="CN7" s="44"/>
      <c r="CO7" s="44"/>
      <c r="CP7" s="44"/>
      <c r="CQ7" s="44"/>
      <c r="CR7" s="44"/>
      <c r="CS7" s="44"/>
      <c r="CT7" s="44"/>
      <c r="CU7" s="44"/>
      <c r="CV7" s="44"/>
      <c r="CW7" s="44"/>
      <c r="CX7" s="44"/>
      <c r="CY7" s="44"/>
      <c r="CZ7" s="44"/>
      <c r="DA7" s="44"/>
      <c r="DB7" s="44"/>
      <c r="DC7" s="44"/>
      <c r="DD7" s="44"/>
      <c r="DE7" s="44"/>
      <c r="DF7" s="44"/>
      <c r="DG7" s="44"/>
      <c r="DH7" s="44"/>
      <c r="DI7" s="44"/>
      <c r="DJ7" s="44"/>
      <c r="DK7" s="44"/>
      <c r="DL7" s="44"/>
      <c r="DM7" s="44"/>
      <c r="DN7" s="44"/>
      <c r="DO7" s="44"/>
      <c r="DP7" s="44"/>
      <c r="DQ7" s="44"/>
      <c r="DR7" s="44"/>
      <c r="DS7" s="44"/>
      <c r="DT7" s="44"/>
      <c r="DU7" s="44"/>
      <c r="DV7" s="44"/>
      <c r="DW7" s="44"/>
      <c r="DX7" s="44"/>
      <c r="DY7" s="44"/>
      <c r="DZ7" s="44"/>
      <c r="EA7" s="44"/>
      <c r="EB7" s="44"/>
      <c r="EC7" s="44"/>
      <c r="ED7" s="44"/>
      <c r="EE7" s="44"/>
      <c r="EF7" s="44"/>
      <c r="EG7" s="44"/>
      <c r="EH7" s="44"/>
      <c r="EI7" s="44"/>
      <c r="EJ7" s="44"/>
      <c r="EK7" s="44"/>
      <c r="EL7" s="44"/>
      <c r="EM7" s="44"/>
      <c r="EN7" s="44"/>
      <c r="EO7" s="44"/>
      <c r="EP7" s="44"/>
      <c r="EQ7" s="44"/>
      <c r="ER7" s="44"/>
      <c r="ES7" s="44"/>
      <c r="ET7" s="44"/>
      <c r="EU7" s="44"/>
      <c r="EV7" s="44"/>
      <c r="EW7" s="44"/>
      <c r="EX7" s="44"/>
      <c r="EY7" s="44"/>
      <c r="EZ7" s="44"/>
      <c r="FA7" s="44"/>
      <c r="FB7" s="44"/>
      <c r="FC7" s="44"/>
      <c r="FD7" s="44"/>
      <c r="FE7" s="44"/>
      <c r="FF7" s="44"/>
      <c r="FG7" s="44"/>
      <c r="FH7" s="44"/>
      <c r="FI7" s="44"/>
      <c r="FJ7" s="44"/>
      <c r="FK7" s="44"/>
      <c r="FL7" s="44"/>
      <c r="FM7" s="44"/>
      <c r="FN7" s="44"/>
      <c r="FO7" s="44"/>
      <c r="FP7" s="44"/>
      <c r="FQ7" s="44"/>
      <c r="FR7" s="44"/>
      <c r="FS7" s="44"/>
      <c r="FT7" s="44"/>
      <c r="FU7" s="44"/>
      <c r="FV7" s="44"/>
      <c r="FW7" s="44"/>
      <c r="FX7" s="44"/>
      <c r="FY7" s="44"/>
      <c r="FZ7" s="44"/>
      <c r="GA7" s="44"/>
      <c r="GB7" s="44"/>
      <c r="GC7" s="44"/>
      <c r="GD7" s="44"/>
      <c r="GE7" s="44"/>
      <c r="GF7" s="44"/>
      <c r="GG7" s="44"/>
      <c r="GH7" s="44"/>
      <c r="GI7" s="44"/>
      <c r="GJ7" s="44"/>
      <c r="GK7" s="44"/>
      <c r="GL7" s="44"/>
      <c r="GM7" s="44"/>
      <c r="GN7" s="44"/>
      <c r="GO7" s="44"/>
      <c r="GP7" s="44"/>
      <c r="GQ7" s="44"/>
      <c r="GR7" s="44"/>
      <c r="GS7" s="44"/>
      <c r="GT7" s="44"/>
      <c r="GU7" s="44"/>
      <c r="GV7" s="44"/>
      <c r="GW7" s="44"/>
      <c r="GX7" s="44"/>
      <c r="GY7" s="44"/>
      <c r="GZ7" s="44"/>
      <c r="HA7" s="44"/>
      <c r="HB7" s="44"/>
      <c r="HC7" s="44"/>
      <c r="HD7" s="44"/>
      <c r="HE7" s="44"/>
      <c r="HF7" s="44"/>
      <c r="HG7" s="44"/>
      <c r="HH7" s="44"/>
    </row>
    <row r="8" spans="1:216" x14ac:dyDescent="0.4">
      <c r="A8" s="45" t="s">
        <v>162</v>
      </c>
      <c r="B8" s="47"/>
      <c r="C8" s="47"/>
      <c r="D8" s="47"/>
      <c r="E8" s="47"/>
      <c r="F8" s="47"/>
      <c r="G8" s="47"/>
      <c r="H8" s="47"/>
      <c r="I8" s="50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44"/>
      <c r="BE8" s="44"/>
      <c r="BF8" s="44"/>
      <c r="BG8" s="44"/>
      <c r="BH8" s="44"/>
      <c r="BI8" s="44"/>
      <c r="BJ8" s="44"/>
      <c r="BK8" s="44"/>
      <c r="BL8" s="44"/>
      <c r="BM8" s="44"/>
      <c r="BN8" s="44"/>
      <c r="BO8" s="44"/>
      <c r="BP8" s="44"/>
      <c r="BQ8" s="44"/>
      <c r="BR8" s="44"/>
      <c r="BS8" s="44"/>
      <c r="BT8" s="44"/>
      <c r="BU8" s="44"/>
      <c r="BV8" s="44"/>
      <c r="BW8" s="44"/>
      <c r="BX8" s="44"/>
      <c r="BY8" s="44"/>
      <c r="BZ8" s="44"/>
      <c r="CA8" s="44"/>
      <c r="CB8" s="44"/>
      <c r="CC8" s="44"/>
      <c r="CD8" s="44"/>
      <c r="CE8" s="44"/>
      <c r="CF8" s="44"/>
      <c r="CG8" s="44"/>
      <c r="CH8" s="44"/>
      <c r="CI8" s="44"/>
      <c r="CJ8" s="44"/>
      <c r="CK8" s="44"/>
      <c r="CL8" s="44"/>
      <c r="CM8" s="44"/>
      <c r="CN8" s="44"/>
      <c r="CO8" s="44"/>
      <c r="CP8" s="44"/>
      <c r="CQ8" s="44"/>
      <c r="CR8" s="44"/>
      <c r="CS8" s="44"/>
      <c r="CT8" s="44"/>
      <c r="CU8" s="44"/>
      <c r="CV8" s="44"/>
      <c r="CW8" s="44"/>
      <c r="CX8" s="44"/>
      <c r="CY8" s="44"/>
      <c r="CZ8" s="44"/>
      <c r="DA8" s="44"/>
      <c r="DB8" s="44"/>
      <c r="DC8" s="44"/>
      <c r="DD8" s="44"/>
      <c r="DE8" s="44"/>
      <c r="DF8" s="44"/>
      <c r="DG8" s="44"/>
      <c r="DH8" s="44"/>
      <c r="DI8" s="44"/>
      <c r="DJ8" s="44"/>
      <c r="DK8" s="44"/>
      <c r="DL8" s="44"/>
      <c r="DM8" s="44"/>
      <c r="DN8" s="44"/>
      <c r="DO8" s="44"/>
      <c r="DP8" s="44"/>
      <c r="DQ8" s="44"/>
      <c r="DR8" s="44"/>
      <c r="DS8" s="44"/>
      <c r="DT8" s="44"/>
      <c r="DU8" s="44"/>
      <c r="DV8" s="44"/>
      <c r="DW8" s="44"/>
      <c r="DX8" s="44"/>
      <c r="DY8" s="44"/>
      <c r="DZ8" s="44"/>
      <c r="EA8" s="44"/>
      <c r="EB8" s="44"/>
      <c r="EC8" s="44"/>
      <c r="ED8" s="44"/>
      <c r="EE8" s="44"/>
      <c r="EF8" s="44"/>
      <c r="EG8" s="44"/>
      <c r="EH8" s="44"/>
      <c r="EI8" s="44"/>
      <c r="EJ8" s="44"/>
      <c r="EK8" s="44"/>
      <c r="EL8" s="44"/>
      <c r="EM8" s="44"/>
      <c r="EN8" s="44"/>
      <c r="EO8" s="44"/>
      <c r="EP8" s="44"/>
      <c r="EQ8" s="44"/>
      <c r="ER8" s="44"/>
      <c r="ES8" s="44"/>
      <c r="ET8" s="44"/>
      <c r="EU8" s="44"/>
      <c r="EV8" s="44"/>
      <c r="EW8" s="44"/>
      <c r="EX8" s="44"/>
      <c r="EY8" s="44"/>
      <c r="EZ8" s="44"/>
      <c r="FA8" s="44"/>
      <c r="FB8" s="44"/>
      <c r="FC8" s="44"/>
      <c r="FD8" s="44"/>
      <c r="FE8" s="44"/>
      <c r="FF8" s="44"/>
      <c r="FG8" s="44"/>
      <c r="FH8" s="44"/>
      <c r="FI8" s="44"/>
      <c r="FJ8" s="44"/>
      <c r="FK8" s="44"/>
      <c r="FL8" s="44"/>
      <c r="FM8" s="44"/>
      <c r="FN8" s="44"/>
      <c r="FO8" s="44"/>
      <c r="FP8" s="44"/>
      <c r="FQ8" s="44"/>
      <c r="FR8" s="44"/>
      <c r="FS8" s="44"/>
      <c r="FT8" s="44"/>
      <c r="FU8" s="44"/>
      <c r="FV8" s="44"/>
      <c r="FW8" s="44"/>
      <c r="FX8" s="44"/>
      <c r="FY8" s="44"/>
      <c r="FZ8" s="44"/>
      <c r="GA8" s="44"/>
      <c r="GB8" s="44"/>
      <c r="GC8" s="44"/>
      <c r="GD8" s="44"/>
      <c r="GE8" s="44"/>
      <c r="GF8" s="44"/>
      <c r="GG8" s="44"/>
      <c r="GH8" s="44"/>
      <c r="GI8" s="44"/>
      <c r="GJ8" s="44"/>
      <c r="GK8" s="44"/>
      <c r="GL8" s="44"/>
      <c r="GM8" s="44"/>
      <c r="GN8" s="44"/>
      <c r="GO8" s="44"/>
      <c r="GP8" s="44"/>
      <c r="GQ8" s="44"/>
      <c r="GR8" s="44"/>
      <c r="GS8" s="44"/>
      <c r="GT8" s="44"/>
      <c r="GU8" s="44"/>
      <c r="GV8" s="44"/>
      <c r="GW8" s="44"/>
      <c r="GX8" s="44"/>
      <c r="GY8" s="44"/>
      <c r="GZ8" s="44"/>
      <c r="HA8" s="44"/>
      <c r="HB8" s="44"/>
      <c r="HC8" s="44"/>
      <c r="HD8" s="44"/>
      <c r="HE8" s="44"/>
      <c r="HF8" s="44"/>
      <c r="HG8" s="44"/>
      <c r="HH8" s="44"/>
    </row>
    <row r="14" spans="1:216" x14ac:dyDescent="0.4">
      <c r="A14" s="1" t="s">
        <v>6</v>
      </c>
      <c r="B14" s="2"/>
      <c r="C14" s="2"/>
      <c r="D14" s="2"/>
      <c r="E14" s="2"/>
      <c r="F14" s="2"/>
      <c r="G14" s="2"/>
    </row>
    <row r="15" spans="1:216" x14ac:dyDescent="0.4">
      <c r="A15" s="2" t="s">
        <v>7</v>
      </c>
      <c r="B15" s="2"/>
      <c r="C15" s="2"/>
      <c r="D15" s="2"/>
      <c r="E15" s="2"/>
      <c r="F15" s="2"/>
      <c r="G15" s="2"/>
    </row>
  </sheetData>
  <phoneticPr fontId="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DE03525-96A4-461C-BA31-A9C8AC09FF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입력</vt:lpstr>
      <vt:lpstr>데이터</vt:lpstr>
      <vt:lpstr>계산</vt:lpstr>
      <vt:lpstr>결과출력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보경 김</dc:creator>
  <cp:lastModifiedBy>보경 김</cp:lastModifiedBy>
  <dcterms:created xsi:type="dcterms:W3CDTF">2025-10-13T09:32:21Z</dcterms:created>
  <dcterms:modified xsi:type="dcterms:W3CDTF">2025-11-01T15:38:36Z</dcterms:modified>
</cp:coreProperties>
</file>